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0.ChochX\Excel\by coachX\20198962-Excel_Assigment\Excel_Assigment\"/>
    </mc:Choice>
  </mc:AlternateContent>
  <bookViews>
    <workbookView xWindow="-120" yWindow="-120" windowWidth="29040" windowHeight="15720" activeTab="1"/>
  </bookViews>
  <sheets>
    <sheet name="Horizontal Analysis IS" sheetId="1" r:id="rId1"/>
    <sheet name="Business-Net-Worth-Calculator" sheetId="2" r:id="rId2"/>
  </sheet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2" l="1"/>
  <c r="F23" i="2"/>
  <c r="F14" i="2"/>
  <c r="F9" i="2"/>
  <c r="C28" i="2"/>
  <c r="C22" i="2"/>
  <c r="C15" i="2"/>
  <c r="C10" i="2"/>
  <c r="F31" i="1"/>
  <c r="E31" i="1"/>
  <c r="C31" i="1"/>
  <c r="F30" i="1"/>
  <c r="E30" i="1"/>
  <c r="F12" i="1"/>
  <c r="D12" i="1"/>
  <c r="E12" i="1"/>
  <c r="E9" i="1"/>
  <c r="F29" i="1"/>
  <c r="F28" i="1"/>
  <c r="F27" i="1"/>
  <c r="E29" i="1"/>
  <c r="E28" i="1"/>
  <c r="E27" i="1"/>
  <c r="D20" i="1"/>
  <c r="E20" i="1"/>
  <c r="F20" i="1"/>
  <c r="F23" i="1"/>
  <c r="F25" i="1"/>
  <c r="E23" i="1"/>
  <c r="E25" i="1"/>
  <c r="F24" i="1"/>
  <c r="E24" i="1"/>
  <c r="E22" i="1"/>
  <c r="E21" i="1"/>
  <c r="F22" i="1"/>
  <c r="F21" i="1"/>
  <c r="F19" i="1"/>
  <c r="E19" i="1"/>
  <c r="F18" i="1"/>
  <c r="F17" i="1"/>
  <c r="F16" i="1"/>
  <c r="F15" i="1"/>
  <c r="F14" i="1"/>
  <c r="F11" i="1"/>
  <c r="F10" i="1"/>
  <c r="F8" i="1"/>
  <c r="F7" i="1"/>
  <c r="E16" i="1"/>
  <c r="E17" i="1"/>
  <c r="E18" i="1"/>
  <c r="E15" i="1"/>
  <c r="E14" i="1"/>
  <c r="E11" i="1"/>
  <c r="E10" i="1"/>
  <c r="F9" i="1"/>
  <c r="E8" i="1"/>
  <c r="E7" i="1"/>
  <c r="C29" i="2"/>
  <c r="F25" i="2"/>
  <c r="F26" i="2"/>
  <c r="F27" i="2"/>
  <c r="F28" i="2"/>
  <c r="F22" i="2"/>
  <c r="F21" i="2"/>
  <c r="F20" i="2"/>
  <c r="F19" i="2"/>
  <c r="F15" i="2"/>
  <c r="D9" i="1"/>
  <c r="C9" i="1"/>
  <c r="C12" i="1"/>
  <c r="C19" i="1"/>
  <c r="C20" i="1"/>
  <c r="C23" i="1"/>
  <c r="C25" i="1"/>
  <c r="C30" i="1"/>
  <c r="D19" i="1"/>
  <c r="D23" i="1"/>
  <c r="D25" i="1"/>
  <c r="D30" i="1"/>
  <c r="D31" i="1"/>
</calcChain>
</file>

<file path=xl/sharedStrings.xml><?xml version="1.0" encoding="utf-8"?>
<sst xmlns="http://schemas.openxmlformats.org/spreadsheetml/2006/main" count="91" uniqueCount="86">
  <si>
    <t>Amount</t>
  </si>
  <si>
    <t>Description</t>
  </si>
  <si>
    <t xml:space="preserve"> </t>
  </si>
  <si>
    <t>INCOME</t>
  </si>
  <si>
    <t>EXPENSES</t>
  </si>
  <si>
    <t>Less : Tax Expense</t>
  </si>
  <si>
    <t xml:space="preserve">Revenue from sale of goods and services (Net of discounts)   </t>
  </si>
  <si>
    <t xml:space="preserve">Less: Exicse duty  </t>
  </si>
  <si>
    <t xml:space="preserve">Revenue from sale of goods and services (Net of discounts and excise duty) </t>
  </si>
  <si>
    <t xml:space="preserve">Other Operating Revenue  </t>
  </si>
  <si>
    <t xml:space="preserve">Other Income   </t>
  </si>
  <si>
    <t xml:space="preserve">Cost of Materials Consumed 20A  </t>
  </si>
  <si>
    <t xml:space="preserve">Total (II) </t>
  </si>
  <si>
    <t xml:space="preserve">PROFIT BEFORE EXCEPTIONAL ITEMS AND TAX </t>
  </si>
  <si>
    <t xml:space="preserve">PROFIT BEFORE TAX </t>
  </si>
  <si>
    <t xml:space="preserve">Current Tax  </t>
  </si>
  <si>
    <t xml:space="preserve">Excess tax provision for earlier years </t>
  </si>
  <si>
    <t xml:space="preserve">Deferred Tax expense/(benefit) 5 </t>
  </si>
  <si>
    <t xml:space="preserve">Total Tax Expenses  </t>
  </si>
  <si>
    <t xml:space="preserve">PROFIT AFTER TAX </t>
  </si>
  <si>
    <t>Percentage</t>
  </si>
  <si>
    <t xml:space="preserve">Total Revenue (I)  </t>
  </si>
  <si>
    <t>Purchases of Stock-in-Trade</t>
  </si>
  <si>
    <t>Employee Benefits Expense</t>
  </si>
  <si>
    <t>Other Expenses</t>
  </si>
  <si>
    <t>Finance Costs</t>
  </si>
  <si>
    <t>EARNINGS BEFORE INTEREST, TAX, DEPRECIATION AND AMORTISATION (EBITDA) (I) -(II)</t>
  </si>
  <si>
    <t>Depreciation and Amortisation Expense</t>
  </si>
  <si>
    <t>Exceptional Items</t>
  </si>
  <si>
    <t xml:space="preserve">Changes in inventories of finished goods, work-in-progress and stock-in-trade  </t>
  </si>
  <si>
    <t>For Years Ended March 31, 2016 and 2015</t>
  </si>
  <si>
    <t>Variance</t>
  </si>
  <si>
    <t>Asian Paints Ltd Income Statement Comparative Horizontal Ananlysis</t>
  </si>
  <si>
    <t>Business Net Worth Calculator</t>
  </si>
  <si>
    <t>Assets</t>
  </si>
  <si>
    <t>Liabilities</t>
  </si>
  <si>
    <t>1. Cash</t>
  </si>
  <si>
    <t>1. Secured</t>
  </si>
  <si>
    <t>Current A/c's</t>
  </si>
  <si>
    <t>Accounts Payable</t>
  </si>
  <si>
    <t>Savings A/c's</t>
  </si>
  <si>
    <t>Auto Loan</t>
  </si>
  <si>
    <t>Fixed Deposits</t>
  </si>
  <si>
    <t>Outstanding Credit Card Payments</t>
  </si>
  <si>
    <t>Accounts receivable</t>
  </si>
  <si>
    <t>Mortgages</t>
  </si>
  <si>
    <t>Other cash</t>
  </si>
  <si>
    <t>Total Secured Liabilities</t>
  </si>
  <si>
    <t>Total Cash</t>
  </si>
  <si>
    <t>2. Unsecured</t>
  </si>
  <si>
    <t>2. Investments</t>
  </si>
  <si>
    <t>Unpaid Taxes</t>
  </si>
  <si>
    <t>Shares/Mutual Funds</t>
  </si>
  <si>
    <t>Short term Loans</t>
  </si>
  <si>
    <t>National Bonds</t>
  </si>
  <si>
    <t>Other liabilities</t>
  </si>
  <si>
    <t>Other investments</t>
  </si>
  <si>
    <t>Total Unsecured Liabilities</t>
  </si>
  <si>
    <t>Total Investments</t>
  </si>
  <si>
    <t>Total Liabilities (1+2)</t>
  </si>
  <si>
    <t>3. Property</t>
  </si>
  <si>
    <t>Real Estate</t>
  </si>
  <si>
    <t>Net Worth Summary</t>
  </si>
  <si>
    <t>Owned Vehicles</t>
  </si>
  <si>
    <t>A. Assets</t>
  </si>
  <si>
    <t>Gold, Silver, etc</t>
  </si>
  <si>
    <t>Cash</t>
  </si>
  <si>
    <t>Other property</t>
  </si>
  <si>
    <t>Investment</t>
  </si>
  <si>
    <t>Property</t>
  </si>
  <si>
    <t>Total Property</t>
  </si>
  <si>
    <t>Retirement</t>
  </si>
  <si>
    <t>4. Retirement</t>
  </si>
  <si>
    <t>Total Assets</t>
  </si>
  <si>
    <t>Retirements A/c</t>
  </si>
  <si>
    <t>B. Liabilities</t>
  </si>
  <si>
    <t>Pensions A/c.</t>
  </si>
  <si>
    <t>Secured Liabilities</t>
  </si>
  <si>
    <t>Other Assets</t>
  </si>
  <si>
    <t>Unsecured Liabilities</t>
  </si>
  <si>
    <t>Total Liabilities</t>
  </si>
  <si>
    <t>Total Retirement</t>
  </si>
  <si>
    <t>Total Net Worth (A - B)</t>
  </si>
  <si>
    <t>Total Assets (1+2+3+4)</t>
  </si>
  <si>
    <t>As on Date</t>
  </si>
  <si>
    <t>Nandini &amp;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</si>
</sst>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_ [$₹-4009]\ * #,##0_ ;_ [$₹-4009]\ * \-#,##0_ ;_ [$₹-4009]\ * &quot;-&quot;_ ;_ @_ "/>
    <numFmt numFmtId="165" formatCode="_ [$₹-4009]\ * #,##0.00_ ;_ [$₹-4009]\ * \-#,##0.00_ ;_ [$₹-4009]\ * &quot;-&quot;_ ;_ @_ "/>
    <numFmt numFmtId="166" formatCode="_ [$₹-4009]\ * #,##0.00_ ;_ [$₹-4009]\ * \-#,##0.00_ ;_ [$₹-4009]\ * &quot;-&quot;??_ ;_ @_ "/>
    <numFmt numFmtId="182" formatCode="0.000%"/>
  </numFmts>
  <fonts count="2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4"/>
      <color rgb="FFFFFF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0"/>
      <name val="Andalus"/>
      <family val="1"/>
    </font>
    <font>
      <b/>
      <sz val="14"/>
      <color theme="0"/>
      <name val="Andalus"/>
      <family val="1"/>
    </font>
    <font>
      <sz val="10"/>
      <name val="Andalus"/>
      <family val="1"/>
    </font>
    <font>
      <b/>
      <i/>
      <sz val="11"/>
      <name val="Andalus"/>
      <family val="1"/>
    </font>
    <font>
      <b/>
      <sz val="11"/>
      <name val="Andalus"/>
      <family val="1"/>
    </font>
    <font>
      <sz val="11"/>
      <name val="Andalus"/>
      <family val="1"/>
    </font>
    <font>
      <b/>
      <sz val="11"/>
      <color theme="0"/>
      <name val="Andalus"/>
      <family val="1"/>
    </font>
    <font>
      <b/>
      <i/>
      <sz val="11"/>
      <color theme="0"/>
      <name val="Andalus"/>
      <family val="1"/>
    </font>
    <font>
      <sz val="11"/>
      <color theme="0"/>
      <name val="Andalus"/>
      <family val="1"/>
    </font>
    <font>
      <b/>
      <sz val="10"/>
      <color theme="0"/>
      <name val="Andalus"/>
      <family val="1"/>
    </font>
    <font>
      <b/>
      <sz val="12"/>
      <color theme="0"/>
      <name val="Andalus"/>
      <family val="1"/>
    </font>
    <font>
      <sz val="10"/>
      <name val="Calibri"/>
      <family val="2"/>
      <scheme val="minor"/>
    </font>
    <font>
      <b/>
      <sz val="12"/>
      <color theme="0"/>
      <name val="Andalus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1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/>
      <right/>
      <top/>
      <bottom style="thick">
        <color theme="0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8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5" borderId="5" xfId="0" applyFill="1" applyBorder="1"/>
    <xf numFmtId="0" fontId="0" fillId="5" borderId="7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10" xfId="0" applyFill="1" applyBorder="1"/>
    <xf numFmtId="0" fontId="3" fillId="2" borderId="5" xfId="0" applyFont="1" applyFill="1" applyBorder="1" applyAlignment="1">
      <alignment horizontal="center" vertical="center"/>
    </xf>
    <xf numFmtId="0" fontId="0" fillId="5" borderId="11" xfId="0" applyFill="1" applyBorder="1"/>
    <xf numFmtId="0" fontId="3" fillId="7" borderId="5" xfId="0" applyFont="1" applyFill="1" applyBorder="1" applyAlignment="1">
      <alignment horizontal="center" vertical="center"/>
    </xf>
    <xf numFmtId="0" fontId="5" fillId="5" borderId="8" xfId="0" applyFont="1" applyFill="1" applyBorder="1"/>
    <xf numFmtId="0" fontId="1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164" fontId="7" fillId="3" borderId="3" xfId="0" applyNumberFormat="1" applyFont="1" applyFill="1" applyBorder="1" applyAlignment="1">
      <alignment vertical="center"/>
    </xf>
    <xf numFmtId="165" fontId="6" fillId="4" borderId="5" xfId="0" applyNumberFormat="1" applyFont="1" applyFill="1" applyBorder="1" applyAlignment="1">
      <alignment vertical="center"/>
    </xf>
    <xf numFmtId="165" fontId="6" fillId="4" borderId="6" xfId="0" applyNumberFormat="1" applyFont="1" applyFill="1" applyBorder="1" applyAlignment="1">
      <alignment vertical="center"/>
    </xf>
    <xf numFmtId="10" fontId="1" fillId="7" borderId="1" xfId="0" applyNumberFormat="1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164" fontId="6" fillId="4" borderId="6" xfId="0" applyNumberFormat="1" applyFont="1" applyFill="1" applyBorder="1" applyAlignment="1">
      <alignment vertical="center"/>
    </xf>
    <xf numFmtId="165" fontId="6" fillId="4" borderId="7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165" fontId="6" fillId="4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165" fontId="5" fillId="3" borderId="3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 wrapText="1"/>
    </xf>
    <xf numFmtId="10" fontId="0" fillId="0" borderId="0" xfId="0" applyNumberFormat="1"/>
    <xf numFmtId="0" fontId="6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166" fontId="7" fillId="3" borderId="3" xfId="0" applyNumberFormat="1" applyFont="1" applyFill="1" applyBorder="1" applyAlignment="1">
      <alignment vertical="center"/>
    </xf>
    <xf numFmtId="166" fontId="5" fillId="3" borderId="3" xfId="0" applyNumberFormat="1" applyFont="1" applyFill="1" applyBorder="1" applyAlignment="1">
      <alignment vertical="center"/>
    </xf>
    <xf numFmtId="166" fontId="6" fillId="4" borderId="5" xfId="0" applyNumberFormat="1" applyFont="1" applyFill="1" applyBorder="1" applyAlignment="1">
      <alignment vertical="center"/>
    </xf>
    <xf numFmtId="166" fontId="6" fillId="4" borderId="6" xfId="0" applyNumberFormat="1" applyFont="1" applyFill="1" applyBorder="1" applyAlignment="1">
      <alignment vertical="center"/>
    </xf>
    <xf numFmtId="166" fontId="6" fillId="4" borderId="7" xfId="0" applyNumberFormat="1" applyFont="1" applyFill="1" applyBorder="1" applyAlignment="1">
      <alignment vertical="center"/>
    </xf>
    <xf numFmtId="166" fontId="6" fillId="4" borderId="1" xfId="0" applyNumberFormat="1" applyFont="1" applyFill="1" applyBorder="1" applyAlignment="1">
      <alignment vertical="center"/>
    </xf>
    <xf numFmtId="44" fontId="6" fillId="4" borderId="7" xfId="0" applyNumberFormat="1" applyFont="1" applyFill="1" applyBorder="1" applyAlignment="1">
      <alignment vertical="center"/>
    </xf>
    <xf numFmtId="44" fontId="6" fillId="4" borderId="6" xfId="0" applyNumberFormat="1" applyFont="1" applyFill="1" applyBorder="1" applyAlignment="1">
      <alignment vertical="center"/>
    </xf>
    <xf numFmtId="44" fontId="6" fillId="4" borderId="5" xfId="0" applyNumberFormat="1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3" fillId="2" borderId="0" xfId="0" applyFont="1" applyFill="1" applyBorder="1" applyAlignment="1">
      <alignment vertical="center"/>
    </xf>
    <xf numFmtId="0" fontId="16" fillId="9" borderId="5" xfId="0" applyFont="1" applyFill="1" applyBorder="1" applyAlignment="1">
      <alignment horizontal="right" vertical="center"/>
    </xf>
    <xf numFmtId="41" fontId="16" fillId="9" borderId="5" xfId="2" applyNumberFormat="1" applyFont="1" applyFill="1" applyBorder="1" applyAlignment="1">
      <alignment vertical="center"/>
    </xf>
    <xf numFmtId="0" fontId="16" fillId="9" borderId="7" xfId="0" applyFont="1" applyFill="1" applyBorder="1" applyAlignment="1">
      <alignment horizontal="right" vertical="center"/>
    </xf>
    <xf numFmtId="41" fontId="16" fillId="9" borderId="7" xfId="2" applyNumberFormat="1" applyFont="1" applyFill="1" applyBorder="1" applyAlignment="1">
      <alignment vertical="center"/>
    </xf>
    <xf numFmtId="0" fontId="16" fillId="9" borderId="6" xfId="0" applyFont="1" applyFill="1" applyBorder="1" applyAlignment="1">
      <alignment horizontal="right" vertical="center"/>
    </xf>
    <xf numFmtId="41" fontId="16" fillId="9" borderId="6" xfId="2" applyNumberFormat="1" applyFont="1" applyFill="1" applyBorder="1" applyAlignment="1">
      <alignment vertical="center"/>
    </xf>
    <xf numFmtId="0" fontId="17" fillId="10" borderId="1" xfId="0" applyFont="1" applyFill="1" applyBorder="1" applyAlignment="1">
      <alignment horizontal="right" vertical="center"/>
    </xf>
    <xf numFmtId="41" fontId="17" fillId="10" borderId="1" xfId="2" applyNumberFormat="1" applyFont="1" applyFill="1" applyBorder="1" applyAlignment="1">
      <alignment vertical="center"/>
    </xf>
    <xf numFmtId="0" fontId="18" fillId="10" borderId="1" xfId="0" applyFont="1" applyFill="1" applyBorder="1" applyAlignment="1">
      <alignment horizontal="right" vertical="center"/>
    </xf>
    <xf numFmtId="41" fontId="19" fillId="10" borderId="1" xfId="2" applyNumberFormat="1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41" fontId="16" fillId="9" borderId="5" xfId="0" applyNumberFormat="1" applyFont="1" applyFill="1" applyBorder="1" applyAlignment="1">
      <alignment vertical="center"/>
    </xf>
    <xf numFmtId="41" fontId="16" fillId="9" borderId="7" xfId="0" applyNumberFormat="1" applyFont="1" applyFill="1" applyBorder="1" applyAlignment="1">
      <alignment vertical="center"/>
    </xf>
    <xf numFmtId="41" fontId="16" fillId="9" borderId="6" xfId="0" applyNumberFormat="1" applyFont="1" applyFill="1" applyBorder="1" applyAlignment="1">
      <alignment vertical="center"/>
    </xf>
    <xf numFmtId="0" fontId="17" fillId="10" borderId="6" xfId="0" applyFont="1" applyFill="1" applyBorder="1" applyAlignment="1">
      <alignment horizontal="right" vertical="center"/>
    </xf>
    <xf numFmtId="0" fontId="20" fillId="8" borderId="1" xfId="0" applyFont="1" applyFill="1" applyBorder="1" applyAlignment="1">
      <alignment horizontal="center" vertical="center"/>
    </xf>
    <xf numFmtId="41" fontId="20" fillId="8" borderId="1" xfId="0" applyNumberFormat="1" applyFont="1" applyFill="1" applyBorder="1" applyAlignment="1">
      <alignment vertical="center"/>
    </xf>
    <xf numFmtId="0" fontId="21" fillId="8" borderId="1" xfId="0" applyFont="1" applyFill="1" applyBorder="1" applyAlignment="1">
      <alignment vertical="center"/>
    </xf>
    <xf numFmtId="41" fontId="21" fillId="8" borderId="1" xfId="0" applyNumberFormat="1" applyFont="1" applyFill="1" applyBorder="1" applyAlignment="1">
      <alignment vertical="center"/>
    </xf>
    <xf numFmtId="14" fontId="20" fillId="8" borderId="1" xfId="0" applyNumberFormat="1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23" fillId="8" borderId="1" xfId="0" applyFont="1" applyFill="1" applyBorder="1" applyAlignment="1">
      <alignment vertical="center"/>
    </xf>
    <xf numFmtId="0" fontId="8" fillId="2" borderId="3" xfId="1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/>
    </xf>
    <xf numFmtId="0" fontId="14" fillId="9" borderId="4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vertical="center"/>
    </xf>
    <xf numFmtId="0" fontId="14" fillId="9" borderId="4" xfId="0" applyFont="1" applyFill="1" applyBorder="1" applyAlignment="1">
      <alignment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 applyProtection="1">
      <alignment horizontal="center" vertical="center"/>
    </xf>
    <xf numFmtId="0" fontId="11" fillId="2" borderId="3" xfId="0" applyFont="1" applyFill="1" applyBorder="1" applyAlignment="1" applyProtection="1">
      <alignment horizontal="center" vertical="center"/>
    </xf>
    <xf numFmtId="0" fontId="11" fillId="2" borderId="4" xfId="0" applyFont="1" applyFill="1" applyBorder="1" applyAlignment="1" applyProtection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left" vertical="center"/>
    </xf>
    <xf numFmtId="2" fontId="1" fillId="7" borderId="1" xfId="0" applyNumberFormat="1" applyFont="1" applyFill="1" applyBorder="1" applyAlignment="1">
      <alignment vertical="center"/>
    </xf>
    <xf numFmtId="2" fontId="5" fillId="3" borderId="4" xfId="0" applyNumberFormat="1" applyFont="1" applyFill="1" applyBorder="1" applyAlignment="1">
      <alignment vertical="center"/>
    </xf>
    <xf numFmtId="10" fontId="6" fillId="6" borderId="5" xfId="3" applyNumberFormat="1" applyFont="1" applyFill="1" applyBorder="1" applyAlignment="1">
      <alignment vertical="center"/>
    </xf>
    <xf numFmtId="10" fontId="6" fillId="6" borderId="6" xfId="3" applyNumberFormat="1" applyFont="1" applyFill="1" applyBorder="1" applyAlignment="1">
      <alignment vertical="center"/>
    </xf>
    <xf numFmtId="10" fontId="1" fillId="7" borderId="1" xfId="3" applyNumberFormat="1" applyFont="1" applyFill="1" applyBorder="1" applyAlignment="1">
      <alignment vertical="center"/>
    </xf>
    <xf numFmtId="10" fontId="7" fillId="3" borderId="4" xfId="3" applyNumberFormat="1" applyFont="1" applyFill="1" applyBorder="1" applyAlignment="1">
      <alignment vertical="center"/>
    </xf>
    <xf numFmtId="10" fontId="6" fillId="6" borderId="7" xfId="3" applyNumberFormat="1" applyFont="1" applyFill="1" applyBorder="1" applyAlignment="1">
      <alignment vertical="center"/>
    </xf>
    <xf numFmtId="182" fontId="1" fillId="7" borderId="1" xfId="0" applyNumberFormat="1" applyFont="1" applyFill="1" applyBorder="1" applyAlignment="1">
      <alignment vertical="center"/>
    </xf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1"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267164</xdr:colOff>
      <xdr:row>4</xdr:row>
      <xdr:rowOff>104541</xdr:rowOff>
    </xdr:from>
    <xdr:to>
      <xdr:col>24</xdr:col>
      <xdr:colOff>116158</xdr:colOff>
      <xdr:row>19</xdr:row>
      <xdr:rowOff>11616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AE94F9-B0F0-4F63-88BF-4589892A963D}"/>
            </a:ext>
          </a:extLst>
        </xdr:cNvPr>
        <xdr:cNvSpPr txBox="1"/>
      </xdr:nvSpPr>
      <xdr:spPr>
        <a:xfrm>
          <a:off x="10117408" y="1091889"/>
          <a:ext cx="7817470" cy="349637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To calculate Variance</a:t>
          </a:r>
          <a:r>
            <a:rPr lang="en-US" sz="2000" baseline="0"/>
            <a:t> Income Amount  = 2016(Amt) - 2015(Amt)</a:t>
          </a:r>
        </a:p>
        <a:p>
          <a:r>
            <a:rPr lang="en-US" sz="2000"/>
            <a:t>To Calculate Variance Income</a:t>
          </a:r>
          <a:r>
            <a:rPr lang="en-US" sz="2000" baseline="0"/>
            <a:t> </a:t>
          </a:r>
          <a:r>
            <a:rPr lang="en-US" sz="2000"/>
            <a:t>Percentage</a:t>
          </a:r>
          <a:r>
            <a:rPr lang="en-US" sz="2000" baseline="0"/>
            <a:t>  = Variance Amount / 2015(Amt)*100</a:t>
          </a:r>
        </a:p>
        <a:p>
          <a:endParaRPr lang="en-US" sz="2000"/>
        </a:p>
        <a:p>
          <a:r>
            <a:rPr lang="en-US" sz="2000"/>
            <a:t>To Calculate Variance Expenses Amount </a:t>
          </a:r>
          <a:r>
            <a:rPr lang="en-US" sz="2000" baseline="0"/>
            <a:t> =  2016(Amt) - 2015(Amt)</a:t>
          </a:r>
        </a:p>
        <a:p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To Calculate Variance Expenses Percentage  = = Variance Amount / 2015(Amt)*100</a:t>
          </a: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kumimoji="0" lang="en-US" sz="20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en-US" sz="2000"/>
        </a:p>
      </xdr:txBody>
    </xdr:sp>
    <xdr:clientData/>
  </xdr:twoCellAnchor>
  <xdr:twoCellAnchor>
    <xdr:from>
      <xdr:col>11</xdr:col>
      <xdr:colOff>336860</xdr:colOff>
      <xdr:row>2</xdr:row>
      <xdr:rowOff>162622</xdr:rowOff>
    </xdr:from>
    <xdr:to>
      <xdr:col>17</xdr:col>
      <xdr:colOff>336860</xdr:colOff>
      <xdr:row>4</xdr:row>
      <xdr:rowOff>11615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BE17E4-B54C-4822-B8F2-BF9B138D7B5E}"/>
            </a:ext>
          </a:extLst>
        </xdr:cNvPr>
        <xdr:cNvSpPr txBox="1"/>
      </xdr:nvSpPr>
      <xdr:spPr>
        <a:xfrm>
          <a:off x="10187104" y="673720"/>
          <a:ext cx="3740305" cy="3252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Formulas :--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2</xdr:row>
      <xdr:rowOff>114300</xdr:rowOff>
    </xdr:from>
    <xdr:to>
      <xdr:col>18</xdr:col>
      <xdr:colOff>190500</xdr:colOff>
      <xdr:row>6</xdr:row>
      <xdr:rowOff>76200</xdr:rowOff>
    </xdr:to>
    <xdr:sp macro="" textlink="">
      <xdr:nvSpPr>
        <xdr:cNvPr id="2" name="TextBox 1"/>
        <xdr:cNvSpPr txBox="1"/>
      </xdr:nvSpPr>
      <xdr:spPr>
        <a:xfrm>
          <a:off x="10363200" y="742950"/>
          <a:ext cx="601980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finding the  Total Liabilities use = SUM() 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For finding the  Total Assets  use = SUM()</a:t>
          </a:r>
          <a:endParaRPr lang="en-US" sz="1400">
            <a:effectLst/>
          </a:endParaRPr>
        </a:p>
        <a:p>
          <a:r>
            <a:rPr lang="en-U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For finding As on Date use = TODAY() Functions</a:t>
          </a:r>
          <a:endParaRPr lang="en-US" sz="1400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opLeftCell="C15" zoomScale="85" zoomScaleNormal="85" workbookViewId="0">
      <selection activeCell="E6" sqref="E6"/>
    </sheetView>
  </sheetViews>
  <sheetFormatPr defaultRowHeight="15"/>
  <cols>
    <col min="1" max="1" width="1.7109375" customWidth="1"/>
    <col min="2" max="2" width="70.5703125" bestFit="1" customWidth="1"/>
    <col min="3" max="3" width="15.85546875" bestFit="1" customWidth="1"/>
    <col min="4" max="4" width="15.42578125" bestFit="1" customWidth="1"/>
    <col min="5" max="5" width="14.42578125" bestFit="1" customWidth="1"/>
    <col min="6" max="6" width="13" bestFit="1" customWidth="1"/>
    <col min="7" max="7" width="1.7109375" customWidth="1"/>
    <col min="9" max="9" width="17.85546875" customWidth="1"/>
    <col min="13" max="13" width="10.7109375" customWidth="1"/>
  </cols>
  <sheetData>
    <row r="1" spans="1:11" ht="20.25" thickTop="1" thickBot="1">
      <c r="A1" s="3"/>
      <c r="B1" s="68"/>
      <c r="C1" s="68"/>
      <c r="D1" s="68"/>
      <c r="E1" s="68"/>
      <c r="F1" s="68"/>
      <c r="G1" s="3"/>
      <c r="K1" t="s">
        <v>2</v>
      </c>
    </row>
    <row r="2" spans="1:11" ht="20.25" thickTop="1" thickBot="1">
      <c r="A2" s="4"/>
      <c r="B2" s="69" t="s">
        <v>32</v>
      </c>
      <c r="C2" s="69"/>
      <c r="D2" s="69"/>
      <c r="E2" s="69"/>
      <c r="F2" s="69"/>
      <c r="G2" s="4"/>
    </row>
    <row r="3" spans="1:11" ht="20.25" thickTop="1" thickBot="1">
      <c r="A3" s="4"/>
      <c r="B3" s="69" t="s">
        <v>30</v>
      </c>
      <c r="C3" s="69"/>
      <c r="D3" s="69"/>
      <c r="E3" s="69"/>
      <c r="F3" s="69"/>
      <c r="G3" s="4"/>
    </row>
    <row r="4" spans="1:11" ht="17.25" thickTop="1" thickBot="1">
      <c r="A4" s="4"/>
      <c r="B4" s="70" t="s">
        <v>1</v>
      </c>
      <c r="C4" s="1">
        <v>2016</v>
      </c>
      <c r="D4" s="2">
        <v>2015</v>
      </c>
      <c r="E4" s="72" t="s">
        <v>31</v>
      </c>
      <c r="F4" s="73"/>
      <c r="G4" s="4"/>
    </row>
    <row r="5" spans="1:11" ht="17.25" thickTop="1" thickBot="1">
      <c r="A5" s="4"/>
      <c r="B5" s="71"/>
      <c r="C5" s="8" t="s">
        <v>0</v>
      </c>
      <c r="D5" s="8" t="s">
        <v>0</v>
      </c>
      <c r="E5" s="8" t="s">
        <v>0</v>
      </c>
      <c r="F5" s="10" t="s">
        <v>20</v>
      </c>
      <c r="G5" s="4"/>
    </row>
    <row r="6" spans="1:11" ht="16.5" thickTop="1" thickBot="1">
      <c r="A6" s="6"/>
      <c r="B6" s="12" t="s">
        <v>3</v>
      </c>
      <c r="C6" s="13"/>
      <c r="D6" s="13"/>
      <c r="E6" s="13"/>
      <c r="F6" s="14"/>
      <c r="G6" s="7"/>
    </row>
    <row r="7" spans="1:11" ht="30.75" thickTop="1">
      <c r="A7" s="6"/>
      <c r="B7" s="30" t="s">
        <v>6</v>
      </c>
      <c r="C7" s="17">
        <v>13992.15</v>
      </c>
      <c r="D7" s="17">
        <v>12878.8</v>
      </c>
      <c r="E7" s="37">
        <f>C7-D7</f>
        <v>1113.3500000000004</v>
      </c>
      <c r="F7" s="92">
        <f>E7/D7</f>
        <v>8.6448271578097369E-2</v>
      </c>
      <c r="G7" s="7"/>
      <c r="I7" s="29"/>
    </row>
    <row r="8" spans="1:11" ht="15.75" thickBot="1">
      <c r="A8" s="6"/>
      <c r="B8" s="31" t="s">
        <v>7</v>
      </c>
      <c r="C8" s="18">
        <v>1533.5</v>
      </c>
      <c r="D8" s="18">
        <v>1393.13</v>
      </c>
      <c r="E8" s="38">
        <f>C8-D8</f>
        <v>140.36999999999989</v>
      </c>
      <c r="F8" s="93">
        <f>E8/D8</f>
        <v>0.10075872316294954</v>
      </c>
      <c r="G8" s="7"/>
    </row>
    <row r="9" spans="1:11" ht="48.75" customHeight="1" thickTop="1" thickBot="1">
      <c r="A9" s="6"/>
      <c r="B9" s="28" t="s">
        <v>8</v>
      </c>
      <c r="C9" s="20">
        <f>C7-C8</f>
        <v>12458.65</v>
      </c>
      <c r="D9" s="20">
        <f>D7-D8</f>
        <v>11485.669999999998</v>
      </c>
      <c r="E9" s="20">
        <f>E7-E8</f>
        <v>972.98000000000047</v>
      </c>
      <c r="F9" s="94">
        <f>F7-F8</f>
        <v>-1.4310451584852169E-2</v>
      </c>
      <c r="G9" s="7"/>
    </row>
    <row r="10" spans="1:11" ht="15.75" thickTop="1">
      <c r="A10" s="6"/>
      <c r="B10" s="30" t="s">
        <v>9</v>
      </c>
      <c r="C10" s="17">
        <v>187.23</v>
      </c>
      <c r="D10" s="17">
        <v>163.16</v>
      </c>
      <c r="E10" s="37">
        <f>C10-D10</f>
        <v>24.069999999999993</v>
      </c>
      <c r="F10" s="92">
        <f>E10/D10</f>
        <v>0.14752390291738168</v>
      </c>
      <c r="G10" s="7"/>
    </row>
    <row r="11" spans="1:11" ht="15.75" thickBot="1">
      <c r="A11" s="6"/>
      <c r="B11" s="31" t="s">
        <v>10</v>
      </c>
      <c r="C11" s="22">
        <v>225.3</v>
      </c>
      <c r="D11" s="22">
        <v>186.82</v>
      </c>
      <c r="E11" s="38">
        <f>C11-D11</f>
        <v>38.480000000000018</v>
      </c>
      <c r="F11" s="93">
        <f>E11/D11</f>
        <v>0.20597366448988341</v>
      </c>
      <c r="G11" s="7"/>
    </row>
    <row r="12" spans="1:11" ht="24.75" customHeight="1" thickTop="1" thickBot="1">
      <c r="A12" s="6"/>
      <c r="B12" s="26" t="s">
        <v>21</v>
      </c>
      <c r="C12" s="21">
        <f>C9+SUM(C10:C11)</f>
        <v>12871.18</v>
      </c>
      <c r="D12" s="21">
        <f>D9+SUM(D10:D11)</f>
        <v>11835.649999999998</v>
      </c>
      <c r="E12" s="21">
        <f>E9+SUM(E10:E11)</f>
        <v>1035.5300000000004</v>
      </c>
      <c r="F12" s="94">
        <f>F9+SUM(F10:F11)</f>
        <v>0.33918711582241295</v>
      </c>
      <c r="G12" s="7"/>
    </row>
    <row r="13" spans="1:11" ht="16.5" thickTop="1" thickBot="1">
      <c r="A13" s="6"/>
      <c r="B13" s="15" t="s">
        <v>4</v>
      </c>
      <c r="C13" s="16"/>
      <c r="D13" s="16"/>
      <c r="E13" s="35"/>
      <c r="F13" s="95"/>
      <c r="G13" s="7"/>
    </row>
    <row r="14" spans="1:11" ht="15.75" thickTop="1">
      <c r="A14" s="6"/>
      <c r="B14" s="32" t="s">
        <v>11</v>
      </c>
      <c r="C14" s="17">
        <v>5842.29</v>
      </c>
      <c r="D14" s="17">
        <v>6191.72</v>
      </c>
      <c r="E14" s="43">
        <f>C14-D14</f>
        <v>-349.43000000000029</v>
      </c>
      <c r="F14" s="92">
        <f>E14/D14</f>
        <v>-5.6435045512394019E-2</v>
      </c>
      <c r="G14" s="7"/>
    </row>
    <row r="15" spans="1:11">
      <c r="A15" s="6"/>
      <c r="B15" s="32" t="s">
        <v>22</v>
      </c>
      <c r="C15" s="23">
        <v>524.41999999999996</v>
      </c>
      <c r="D15" s="23">
        <v>380.56</v>
      </c>
      <c r="E15" s="39">
        <f>C15-D15</f>
        <v>143.85999999999996</v>
      </c>
      <c r="F15" s="96">
        <f>E15/D15</f>
        <v>0.37802186251839381</v>
      </c>
      <c r="G15" s="7"/>
    </row>
    <row r="16" spans="1:11" ht="30">
      <c r="A16" s="6"/>
      <c r="B16" s="32" t="s">
        <v>29</v>
      </c>
      <c r="C16" s="23">
        <v>162.86000000000001</v>
      </c>
      <c r="D16" s="41">
        <v>-132.43</v>
      </c>
      <c r="E16" s="39">
        <f t="shared" ref="E16:E22" si="0">C16-D16</f>
        <v>295.29000000000002</v>
      </c>
      <c r="F16" s="96">
        <f>E16/D16</f>
        <v>-2.2297817715019255</v>
      </c>
      <c r="G16" s="7"/>
    </row>
    <row r="17" spans="1:9">
      <c r="A17" s="6"/>
      <c r="B17" s="32" t="s">
        <v>23</v>
      </c>
      <c r="C17" s="23">
        <v>664.2</v>
      </c>
      <c r="D17" s="23">
        <v>606.94000000000005</v>
      </c>
      <c r="E17" s="39">
        <f t="shared" si="0"/>
        <v>57.259999999999991</v>
      </c>
      <c r="F17" s="96">
        <f>E17/D17</f>
        <v>9.4342109598971866E-2</v>
      </c>
      <c r="G17" s="7"/>
    </row>
    <row r="18" spans="1:9" ht="15.75" thickBot="1">
      <c r="A18" s="6"/>
      <c r="B18" s="31" t="s">
        <v>24</v>
      </c>
      <c r="C18" s="18">
        <v>2972.55</v>
      </c>
      <c r="D18" s="18">
        <v>2591.52</v>
      </c>
      <c r="E18" s="39">
        <f t="shared" si="0"/>
        <v>381.0300000000002</v>
      </c>
      <c r="F18" s="96">
        <f>E18/D18</f>
        <v>0.1470295425078719</v>
      </c>
      <c r="G18" s="7"/>
    </row>
    <row r="19" spans="1:9" ht="24.75" customHeight="1" thickTop="1" thickBot="1">
      <c r="A19" s="6"/>
      <c r="B19" s="26" t="s">
        <v>12</v>
      </c>
      <c r="C19" s="20">
        <f>SUM(C14:C18)</f>
        <v>10166.32</v>
      </c>
      <c r="D19" s="20">
        <f>SUM(D14:D18)</f>
        <v>9638.3100000000013</v>
      </c>
      <c r="E19" s="21">
        <f>SUM(E14:E18)</f>
        <v>528.00999999999988</v>
      </c>
      <c r="F19" s="90">
        <f>SUM(F14:F18)</f>
        <v>-1.6668233023890822</v>
      </c>
      <c r="G19" s="7"/>
    </row>
    <row r="20" spans="1:9" ht="57.75" customHeight="1" thickTop="1" thickBot="1">
      <c r="A20" s="6"/>
      <c r="B20" s="28" t="s">
        <v>26</v>
      </c>
      <c r="C20" s="20">
        <f>C12-C19</f>
        <v>2704.8600000000006</v>
      </c>
      <c r="D20" s="20">
        <f>D12-D19</f>
        <v>2197.3399999999965</v>
      </c>
      <c r="E20" s="39">
        <f t="shared" si="0"/>
        <v>507.52000000000407</v>
      </c>
      <c r="F20" s="96">
        <f t="shared" ref="F20:F24" si="1">E20/D20</f>
        <v>0.23097017302738987</v>
      </c>
      <c r="G20" s="7"/>
    </row>
    <row r="21" spans="1:9" ht="15.75" thickTop="1">
      <c r="A21" s="6"/>
      <c r="B21" s="30" t="s">
        <v>27</v>
      </c>
      <c r="C21" s="17">
        <v>238.36</v>
      </c>
      <c r="D21" s="17">
        <v>223.11</v>
      </c>
      <c r="E21" s="39">
        <f t="shared" si="0"/>
        <v>15.25</v>
      </c>
      <c r="F21" s="96">
        <f t="shared" si="1"/>
        <v>6.8351934023575811E-2</v>
      </c>
      <c r="G21" s="7"/>
    </row>
    <row r="22" spans="1:9" ht="26.25" customHeight="1" thickBot="1">
      <c r="A22" s="6"/>
      <c r="B22" s="31" t="s">
        <v>25</v>
      </c>
      <c r="C22" s="18">
        <v>23.4</v>
      </c>
      <c r="D22" s="18">
        <v>27.13</v>
      </c>
      <c r="E22" s="39">
        <f t="shared" si="0"/>
        <v>-3.7300000000000004</v>
      </c>
      <c r="F22" s="96">
        <f t="shared" si="1"/>
        <v>-0.13748617766310359</v>
      </c>
      <c r="G22" s="7"/>
    </row>
    <row r="23" spans="1:9" ht="44.25" customHeight="1" thickTop="1" thickBot="1">
      <c r="A23" s="11"/>
      <c r="B23" s="24" t="s">
        <v>13</v>
      </c>
      <c r="C23" s="20">
        <f>C20-SUM(C21:C22)</f>
        <v>2443.1000000000004</v>
      </c>
      <c r="D23" s="20">
        <f>D20-SUM(D21:D22)</f>
        <v>1947.0999999999965</v>
      </c>
      <c r="E23" s="20">
        <f>E20-SUM(E21:E22)</f>
        <v>496.00000000000409</v>
      </c>
      <c r="F23" s="94">
        <f>F20-SUM(F21:F22)</f>
        <v>0.30010441666691767</v>
      </c>
      <c r="G23" s="7"/>
    </row>
    <row r="24" spans="1:9" ht="16.5" thickTop="1" thickBot="1">
      <c r="A24" s="6"/>
      <c r="B24" s="33" t="s">
        <v>28</v>
      </c>
      <c r="C24" s="25">
        <v>65.349999999999994</v>
      </c>
      <c r="D24" s="25">
        <v>13.53</v>
      </c>
      <c r="E24" s="40">
        <f>C24-D24</f>
        <v>51.819999999999993</v>
      </c>
      <c r="F24" s="96">
        <f t="shared" si="1"/>
        <v>3.8300073909830004</v>
      </c>
      <c r="G24" s="7"/>
    </row>
    <row r="25" spans="1:9" ht="24" customHeight="1" thickTop="1" thickBot="1">
      <c r="A25" s="6"/>
      <c r="B25" s="24" t="s">
        <v>14</v>
      </c>
      <c r="C25" s="20">
        <f>C23-C24</f>
        <v>2377.7500000000005</v>
      </c>
      <c r="D25" s="20">
        <f>D23-D24</f>
        <v>1933.5699999999965</v>
      </c>
      <c r="E25" s="20">
        <f>E23-E24</f>
        <v>444.1800000000041</v>
      </c>
      <c r="F25" s="90">
        <f>F23-F24</f>
        <v>-3.5299029743160828</v>
      </c>
      <c r="G25" s="7"/>
    </row>
    <row r="26" spans="1:9" ht="16.5" thickTop="1" thickBot="1">
      <c r="A26" s="6"/>
      <c r="B26" s="34" t="s">
        <v>5</v>
      </c>
      <c r="C26" s="27"/>
      <c r="D26" s="27"/>
      <c r="E26" s="36"/>
      <c r="F26" s="91"/>
      <c r="G26" s="7"/>
    </row>
    <row r="27" spans="1:9" ht="15.75" thickTop="1">
      <c r="A27" s="6"/>
      <c r="B27" s="30" t="s">
        <v>15</v>
      </c>
      <c r="C27" s="17">
        <v>743.74</v>
      </c>
      <c r="D27" s="17">
        <v>616.41999999999996</v>
      </c>
      <c r="E27" s="37">
        <f>C27-D27</f>
        <v>127.32000000000005</v>
      </c>
      <c r="F27" s="92">
        <f>E27/D27</f>
        <v>0.20654748385840832</v>
      </c>
      <c r="G27" s="7"/>
    </row>
    <row r="28" spans="1:9">
      <c r="A28" s="6"/>
      <c r="B28" s="32" t="s">
        <v>16</v>
      </c>
      <c r="C28" s="41">
        <v>-3.33</v>
      </c>
      <c r="D28" s="41">
        <v>-0.96</v>
      </c>
      <c r="E28" s="41">
        <f>C28-D28</f>
        <v>-2.37</v>
      </c>
      <c r="F28" s="96">
        <f>E28/D28</f>
        <v>2.46875</v>
      </c>
      <c r="G28" s="7"/>
    </row>
    <row r="29" spans="1:9" ht="15.75" thickBot="1">
      <c r="A29" s="6"/>
      <c r="B29" s="31" t="s">
        <v>17</v>
      </c>
      <c r="C29" s="18">
        <v>39.909999999999997</v>
      </c>
      <c r="D29" s="42">
        <v>-9.2899999999999991</v>
      </c>
      <c r="E29" s="41">
        <f>C29-D29</f>
        <v>49.199999999999996</v>
      </c>
      <c r="F29" s="93">
        <f>E29/D29</f>
        <v>-5.2960172228202369</v>
      </c>
      <c r="G29" s="7"/>
      <c r="I29" t="s">
        <v>2</v>
      </c>
    </row>
    <row r="30" spans="1:9" ht="21.75" customHeight="1" thickTop="1" thickBot="1">
      <c r="A30" s="6"/>
      <c r="B30" s="24" t="s">
        <v>18</v>
      </c>
      <c r="C30" s="20">
        <f>SUM(C27:C29)</f>
        <v>780.31999999999994</v>
      </c>
      <c r="D30" s="20">
        <f>SUM(D27:D29)</f>
        <v>606.16999999999996</v>
      </c>
      <c r="E30" s="21">
        <f>SUM(E27:E29)</f>
        <v>174.15000000000003</v>
      </c>
      <c r="F30" s="19">
        <f>SUM(F27:F29)</f>
        <v>-2.6207197389618284</v>
      </c>
      <c r="G30" s="7"/>
    </row>
    <row r="31" spans="1:9" ht="21" customHeight="1" thickTop="1" thickBot="1">
      <c r="A31" s="6"/>
      <c r="B31" s="24" t="s">
        <v>19</v>
      </c>
      <c r="C31" s="20">
        <f>C25-C30</f>
        <v>1597.4300000000005</v>
      </c>
      <c r="D31" s="20">
        <f>D25-D30</f>
        <v>1327.3999999999965</v>
      </c>
      <c r="E31" s="21">
        <f>E25-E30</f>
        <v>270.03000000000407</v>
      </c>
      <c r="F31" s="97">
        <f>F25-F30</f>
        <v>-0.90918323535425438</v>
      </c>
      <c r="G31" s="7"/>
    </row>
    <row r="32" spans="1:9" ht="9.6" customHeight="1" thickTop="1" thickBot="1">
      <c r="A32" s="5"/>
      <c r="B32" s="9"/>
      <c r="C32" s="9"/>
      <c r="D32" s="9"/>
      <c r="E32" s="9"/>
      <c r="F32" s="9"/>
      <c r="G32" s="5"/>
    </row>
    <row r="33" spans="5:5" ht="15.75" thickTop="1"/>
    <row r="34" spans="5:5">
      <c r="E34" s="29"/>
    </row>
  </sheetData>
  <mergeCells count="5">
    <mergeCell ref="B1:F1"/>
    <mergeCell ref="B2:F2"/>
    <mergeCell ref="B3:F3"/>
    <mergeCell ref="B4:B5"/>
    <mergeCell ref="E4:F4"/>
  </mergeCells>
  <conditionalFormatting sqref="C34">
    <cfRule type="expression" dxfId="0" priority="1">
      <formula>IF($E$31&gt;($F$31*10%),"")</formula>
    </cfRule>
  </conditionalFormatting>
  <pageMargins left="0.2" right="0.2" top="0.75" bottom="0.75" header="0.3" footer="0.3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zoomScale="85" zoomScaleNormal="85" workbookViewId="0">
      <selection activeCell="B2" sqref="B2:F2"/>
    </sheetView>
  </sheetViews>
  <sheetFormatPr defaultRowHeight="15"/>
  <cols>
    <col min="1" max="1" width="12.28515625" customWidth="1"/>
    <col min="2" max="2" width="17.42578125" customWidth="1"/>
    <col min="3" max="3" width="27.28515625" customWidth="1"/>
    <col min="4" max="4" width="21.28515625" customWidth="1"/>
    <col min="5" max="5" width="37.7109375" customWidth="1"/>
    <col min="6" max="6" width="19" customWidth="1"/>
    <col min="7" max="7" width="7.28515625" customWidth="1"/>
  </cols>
  <sheetData>
    <row r="1" spans="1:7" ht="24.75" thickTop="1" thickBot="1">
      <c r="A1" s="44"/>
      <c r="B1" s="84" t="s">
        <v>85</v>
      </c>
      <c r="C1" s="85"/>
      <c r="D1" s="85"/>
      <c r="E1" s="85"/>
      <c r="F1" s="86"/>
      <c r="G1" s="44"/>
    </row>
    <row r="2" spans="1:7" ht="24.75" thickTop="1" thickBot="1">
      <c r="A2" s="44"/>
      <c r="B2" s="84" t="s">
        <v>33</v>
      </c>
      <c r="C2" s="85"/>
      <c r="D2" s="85"/>
      <c r="E2" s="85"/>
      <c r="F2" s="86"/>
      <c r="G2" s="44"/>
    </row>
    <row r="3" spans="1:7" ht="20.25" thickTop="1" thickBot="1">
      <c r="A3" s="44"/>
      <c r="B3" s="87" t="s">
        <v>34</v>
      </c>
      <c r="C3" s="88"/>
      <c r="D3" s="45"/>
      <c r="E3" s="87" t="s">
        <v>35</v>
      </c>
      <c r="F3" s="88"/>
      <c r="G3" s="44"/>
    </row>
    <row r="4" spans="1:7" ht="16.5" thickTop="1" thickBot="1">
      <c r="A4" s="44"/>
      <c r="B4" s="80" t="s">
        <v>36</v>
      </c>
      <c r="C4" s="81"/>
      <c r="D4" s="45"/>
      <c r="E4" s="76" t="s">
        <v>37</v>
      </c>
      <c r="F4" s="89"/>
      <c r="G4" s="44"/>
    </row>
    <row r="5" spans="1:7" ht="15.75" thickTop="1">
      <c r="A5" s="44"/>
      <c r="B5" s="46" t="s">
        <v>38</v>
      </c>
      <c r="C5" s="47">
        <v>1250000</v>
      </c>
      <c r="D5" s="45"/>
      <c r="E5" s="46" t="s">
        <v>39</v>
      </c>
      <c r="F5" s="47">
        <v>923400</v>
      </c>
      <c r="G5" s="44"/>
    </row>
    <row r="6" spans="1:7">
      <c r="A6" s="44"/>
      <c r="B6" s="48" t="s">
        <v>40</v>
      </c>
      <c r="C6" s="49">
        <v>50000</v>
      </c>
      <c r="D6" s="45"/>
      <c r="E6" s="48" t="s">
        <v>41</v>
      </c>
      <c r="F6" s="49">
        <v>350000</v>
      </c>
      <c r="G6" s="44"/>
    </row>
    <row r="7" spans="1:7">
      <c r="A7" s="44"/>
      <c r="B7" s="48" t="s">
        <v>42</v>
      </c>
      <c r="C7" s="49">
        <v>200000</v>
      </c>
      <c r="D7" s="45"/>
      <c r="E7" s="48" t="s">
        <v>43</v>
      </c>
      <c r="F7" s="49">
        <v>20000</v>
      </c>
      <c r="G7" s="44"/>
    </row>
    <row r="8" spans="1:7" ht="15.75" thickBot="1">
      <c r="A8" s="44"/>
      <c r="B8" s="48" t="s">
        <v>44</v>
      </c>
      <c r="C8" s="49">
        <v>1753500</v>
      </c>
      <c r="D8" s="45"/>
      <c r="E8" s="50" t="s">
        <v>45</v>
      </c>
      <c r="F8" s="51">
        <v>500000</v>
      </c>
      <c r="G8" s="44"/>
    </row>
    <row r="9" spans="1:7" ht="16.5" thickTop="1" thickBot="1">
      <c r="A9" s="44"/>
      <c r="B9" s="50" t="s">
        <v>46</v>
      </c>
      <c r="C9" s="51">
        <v>0</v>
      </c>
      <c r="D9" s="45"/>
      <c r="E9" s="52" t="s">
        <v>47</v>
      </c>
      <c r="F9" s="53">
        <f>SUM(F5:F8)</f>
        <v>1793400</v>
      </c>
      <c r="G9" s="44"/>
    </row>
    <row r="10" spans="1:7" ht="16.5" thickTop="1" thickBot="1">
      <c r="A10" s="44"/>
      <c r="B10" s="54" t="s">
        <v>48</v>
      </c>
      <c r="C10" s="55">
        <f>SUM(C5:C9)</f>
        <v>3253500</v>
      </c>
      <c r="D10" s="45"/>
      <c r="E10" s="76" t="s">
        <v>49</v>
      </c>
      <c r="F10" s="77"/>
      <c r="G10" s="44"/>
    </row>
    <row r="11" spans="1:7" ht="16.5" thickTop="1" thickBot="1">
      <c r="A11" s="44"/>
      <c r="B11" s="78" t="s">
        <v>50</v>
      </c>
      <c r="C11" s="79"/>
      <c r="D11" s="45"/>
      <c r="E11" s="46" t="s">
        <v>51</v>
      </c>
      <c r="F11" s="47">
        <v>400000</v>
      </c>
      <c r="G11" s="44"/>
    </row>
    <row r="12" spans="1:7" ht="15.75" thickTop="1">
      <c r="A12" s="44"/>
      <c r="B12" s="46" t="s">
        <v>52</v>
      </c>
      <c r="C12" s="47">
        <v>324000</v>
      </c>
      <c r="D12" s="45"/>
      <c r="E12" s="48" t="s">
        <v>53</v>
      </c>
      <c r="F12" s="49">
        <v>150000</v>
      </c>
      <c r="G12" s="44"/>
    </row>
    <row r="13" spans="1:7" ht="15.75" thickBot="1">
      <c r="A13" s="44"/>
      <c r="B13" s="48" t="s">
        <v>54</v>
      </c>
      <c r="C13" s="49">
        <v>0</v>
      </c>
      <c r="D13" s="45"/>
      <c r="E13" s="50" t="s">
        <v>55</v>
      </c>
      <c r="F13" s="51">
        <v>0</v>
      </c>
      <c r="G13" s="44"/>
    </row>
    <row r="14" spans="1:7" ht="16.5" thickTop="1" thickBot="1">
      <c r="A14" s="44"/>
      <c r="B14" s="50" t="s">
        <v>56</v>
      </c>
      <c r="C14" s="49">
        <v>0</v>
      </c>
      <c r="D14" s="45"/>
      <c r="E14" s="52" t="s">
        <v>57</v>
      </c>
      <c r="F14" s="53">
        <f>SUM(F11:F13)</f>
        <v>550000</v>
      </c>
      <c r="G14" s="44"/>
    </row>
    <row r="15" spans="1:7" ht="17.25" thickTop="1" thickBot="1">
      <c r="A15" s="44"/>
      <c r="B15" s="54" t="s">
        <v>58</v>
      </c>
      <c r="C15" s="55">
        <f>SUM(C12:C14)</f>
        <v>324000</v>
      </c>
      <c r="D15" s="45"/>
      <c r="E15" s="67" t="s">
        <v>59</v>
      </c>
      <c r="F15" s="64">
        <f>F9+F14</f>
        <v>2343400</v>
      </c>
      <c r="G15" s="44"/>
    </row>
    <row r="16" spans="1:7" ht="24.75" thickTop="1" thickBot="1">
      <c r="A16" s="44"/>
      <c r="B16" s="80" t="s">
        <v>60</v>
      </c>
      <c r="C16" s="81"/>
      <c r="D16" s="45"/>
      <c r="E16" s="44"/>
      <c r="F16" s="56"/>
      <c r="G16" s="44"/>
    </row>
    <row r="17" spans="1:7" ht="24.75" thickTop="1" thickBot="1">
      <c r="A17" s="44"/>
      <c r="B17" s="46" t="s">
        <v>61</v>
      </c>
      <c r="C17" s="47">
        <v>2300000</v>
      </c>
      <c r="D17" s="45"/>
      <c r="E17" s="82" t="s">
        <v>62</v>
      </c>
      <c r="F17" s="83"/>
      <c r="G17" s="44"/>
    </row>
    <row r="18" spans="1:7" ht="16.5" thickTop="1" thickBot="1">
      <c r="A18" s="44"/>
      <c r="B18" s="48" t="s">
        <v>63</v>
      </c>
      <c r="C18" s="49">
        <v>1700000</v>
      </c>
      <c r="D18" s="45"/>
      <c r="E18" s="74" t="s">
        <v>64</v>
      </c>
      <c r="F18" s="75"/>
      <c r="G18" s="44"/>
    </row>
    <row r="19" spans="1:7" ht="15.75" thickTop="1">
      <c r="A19" s="44"/>
      <c r="B19" s="48" t="s">
        <v>65</v>
      </c>
      <c r="C19" s="49">
        <v>500000</v>
      </c>
      <c r="D19" s="45"/>
      <c r="E19" s="46" t="s">
        <v>66</v>
      </c>
      <c r="F19" s="57">
        <f>+C10</f>
        <v>3253500</v>
      </c>
      <c r="G19" s="44"/>
    </row>
    <row r="20" spans="1:7">
      <c r="A20" s="44"/>
      <c r="B20" s="48" t="s">
        <v>67</v>
      </c>
      <c r="C20" s="49">
        <v>0</v>
      </c>
      <c r="D20" s="45"/>
      <c r="E20" s="48" t="s">
        <v>68</v>
      </c>
      <c r="F20" s="58">
        <f>C15</f>
        <v>324000</v>
      </c>
      <c r="G20" s="44"/>
    </row>
    <row r="21" spans="1:7" ht="15.75" thickBot="1">
      <c r="A21" s="44"/>
      <c r="B21" s="50" t="s">
        <v>67</v>
      </c>
      <c r="C21" s="51">
        <v>0</v>
      </c>
      <c r="D21" s="45"/>
      <c r="E21" s="48" t="s">
        <v>69</v>
      </c>
      <c r="F21" s="58">
        <f>C22</f>
        <v>4500000</v>
      </c>
      <c r="G21" s="44"/>
    </row>
    <row r="22" spans="1:7" ht="16.5" thickTop="1" thickBot="1">
      <c r="A22" s="44"/>
      <c r="B22" s="54" t="s">
        <v>70</v>
      </c>
      <c r="C22" s="53">
        <f>SUM(C17:C21)</f>
        <v>4500000</v>
      </c>
      <c r="D22" s="45"/>
      <c r="E22" s="50" t="s">
        <v>71</v>
      </c>
      <c r="F22" s="59">
        <f>C28</f>
        <v>975000</v>
      </c>
      <c r="G22" s="44"/>
    </row>
    <row r="23" spans="1:7" ht="16.5" thickTop="1" thickBot="1">
      <c r="A23" s="44"/>
      <c r="B23" s="80" t="s">
        <v>72</v>
      </c>
      <c r="C23" s="81"/>
      <c r="D23" s="45"/>
      <c r="E23" s="52" t="s">
        <v>73</v>
      </c>
      <c r="F23" s="53">
        <f>SUM(F19:F22)</f>
        <v>9052500</v>
      </c>
      <c r="G23" s="44"/>
    </row>
    <row r="24" spans="1:7" ht="16.5" thickTop="1" thickBot="1">
      <c r="A24" s="44"/>
      <c r="B24" s="46" t="s">
        <v>74</v>
      </c>
      <c r="C24" s="47">
        <v>525000</v>
      </c>
      <c r="D24" s="45"/>
      <c r="E24" s="74" t="s">
        <v>75</v>
      </c>
      <c r="F24" s="75"/>
      <c r="G24" s="44"/>
    </row>
    <row r="25" spans="1:7" ht="15.75" thickTop="1">
      <c r="A25" s="44"/>
      <c r="B25" s="48" t="s">
        <v>76</v>
      </c>
      <c r="C25" s="49">
        <v>450000</v>
      </c>
      <c r="D25" s="45"/>
      <c r="E25" s="46" t="s">
        <v>77</v>
      </c>
      <c r="F25" s="57">
        <f>F9</f>
        <v>1793400</v>
      </c>
      <c r="G25" s="44"/>
    </row>
    <row r="26" spans="1:7" ht="15.75" thickBot="1">
      <c r="A26" s="44"/>
      <c r="B26" s="48" t="s">
        <v>78</v>
      </c>
      <c r="C26" s="49">
        <v>0</v>
      </c>
      <c r="D26" s="45"/>
      <c r="E26" s="50" t="s">
        <v>79</v>
      </c>
      <c r="F26" s="59">
        <f>F14</f>
        <v>550000</v>
      </c>
      <c r="G26" s="44"/>
    </row>
    <row r="27" spans="1:7" ht="16.5" thickTop="1" thickBot="1">
      <c r="A27" s="44"/>
      <c r="B27" s="50" t="s">
        <v>78</v>
      </c>
      <c r="C27" s="51">
        <v>0</v>
      </c>
      <c r="D27" s="45"/>
      <c r="E27" s="60" t="s">
        <v>80</v>
      </c>
      <c r="F27" s="53">
        <f>SUM(F25:F26)</f>
        <v>2343400</v>
      </c>
      <c r="G27" s="44"/>
    </row>
    <row r="28" spans="1:7" ht="16.5" thickTop="1" thickBot="1">
      <c r="A28" s="44"/>
      <c r="B28" s="54" t="s">
        <v>81</v>
      </c>
      <c r="C28" s="53">
        <f>SUM(C24:C27)</f>
        <v>975000</v>
      </c>
      <c r="D28" s="45"/>
      <c r="E28" s="61" t="s">
        <v>82</v>
      </c>
      <c r="F28" s="62">
        <f>F23-F27</f>
        <v>6709100</v>
      </c>
      <c r="G28" s="44"/>
    </row>
    <row r="29" spans="1:7" ht="17.25" thickTop="1" thickBot="1">
      <c r="A29" s="44"/>
      <c r="B29" s="63" t="s">
        <v>83</v>
      </c>
      <c r="C29" s="64">
        <f>C28+C22+C15+C10</f>
        <v>9052500</v>
      </c>
      <c r="D29" s="45"/>
      <c r="E29" s="61" t="s">
        <v>84</v>
      </c>
      <c r="F29" s="65">
        <f ca="1">TODAY()</f>
        <v>46297</v>
      </c>
      <c r="G29" s="44"/>
    </row>
    <row r="30" spans="1:7" ht="15.75" thickTop="1">
      <c r="A30" s="44"/>
      <c r="B30" s="66"/>
      <c r="C30" s="66"/>
      <c r="D30" s="44"/>
      <c r="E30" s="44"/>
      <c r="F30" s="44"/>
      <c r="G30" s="44"/>
    </row>
  </sheetData>
  <mergeCells count="13">
    <mergeCell ref="B1:F1"/>
    <mergeCell ref="B2:F2"/>
    <mergeCell ref="B3:C3"/>
    <mergeCell ref="E3:F3"/>
    <mergeCell ref="B4:C4"/>
    <mergeCell ref="E4:F4"/>
    <mergeCell ref="E24:F24"/>
    <mergeCell ref="E10:F10"/>
    <mergeCell ref="B11:C11"/>
    <mergeCell ref="B16:C16"/>
    <mergeCell ref="E17:F17"/>
    <mergeCell ref="E18:F18"/>
    <mergeCell ref="B23:C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Horizontal Analysis IS</vt:lpstr>
      <vt:lpstr>Business-Net-Worth-Calculator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keywords>ExcelDataPro.com;Horizontal Analysis Template</cp:keywords>
  <cp:lastModifiedBy>nandini rajput</cp:lastModifiedBy>
  <cp:lastPrinted>2017-04-19T09:59:51Z</cp:lastPrinted>
  <dcterms:created xsi:type="dcterms:W3CDTF">2017-04-13T04:20:55Z</dcterms:created>
  <dcterms:modified xsi:type="dcterms:W3CDTF">2026-10-02T12:36:55Z</dcterms:modified>
</cp:coreProperties>
</file>