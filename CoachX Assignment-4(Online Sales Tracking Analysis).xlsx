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-105" yWindow="-105" windowWidth="19425" windowHeight="10305" activeTab="1"/>
  </bookViews>
  <sheets>
    <sheet name="Sales report" sheetId="1" r:id="rId1"/>
    <sheet name="Online Sales Tracker" sheetId="5" r:id="rId2"/>
  </sheets>
  <externalReferences>
    <externalReference r:id="rId3"/>
  </externalReferences>
  <definedNames>
    <definedName name="_xlchart.v1.0" hidden="1">'Online Sales Tracker'!$D$6</definedName>
    <definedName name="_xlchart.v1.1" hidden="1">('Online Sales Tracker'!$D$7:$D$12,'Online Sales Tracker'!$D$14:$D$19)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12" i="5" s="1"/>
  <c r="D11" i="5"/>
  <c r="D15" i="5"/>
  <c r="D16" i="5"/>
  <c r="D17" i="5"/>
  <c r="D18" i="5"/>
  <c r="D19" i="5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L8" i="1"/>
  <c r="K8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B11" i="5" l="1"/>
  <c r="G11" i="5" s="1"/>
  <c r="B10" i="5"/>
  <c r="F10" i="5" s="1"/>
  <c r="B9" i="5"/>
  <c r="G9" i="5" s="1"/>
  <c r="B8" i="5"/>
  <c r="G8" i="5" s="1"/>
  <c r="B7" i="5"/>
  <c r="G7" i="5" s="1"/>
  <c r="C15" i="5"/>
  <c r="G19" i="5"/>
  <c r="E19" i="5"/>
  <c r="H19" i="5" s="1"/>
  <c r="C19" i="5"/>
  <c r="E17" i="5"/>
  <c r="H17" i="5" s="1"/>
  <c r="F15" i="5"/>
  <c r="F9" i="5" l="1"/>
  <c r="F11" i="5"/>
  <c r="C8" i="5"/>
  <c r="C10" i="5"/>
  <c r="E8" i="5"/>
  <c r="F7" i="5"/>
  <c r="F8" i="5"/>
  <c r="E10" i="5"/>
  <c r="G10" i="5"/>
  <c r="C7" i="5"/>
  <c r="C9" i="5"/>
  <c r="C11" i="5"/>
  <c r="E7" i="5"/>
  <c r="E9" i="5"/>
  <c r="E11" i="5"/>
  <c r="H9" i="5" l="1"/>
  <c r="H10" i="5"/>
  <c r="H11" i="5"/>
  <c r="H7" i="5"/>
  <c r="H8" i="5"/>
  <c r="C12" i="5"/>
  <c r="E12" i="5"/>
  <c r="G12" i="5"/>
  <c r="F12" i="5"/>
  <c r="H12" i="5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G15" i="5"/>
  <c r="G16" i="5"/>
  <c r="F17" i="5"/>
  <c r="F16" i="5"/>
  <c r="G18" i="5"/>
  <c r="G17" i="5"/>
  <c r="C16" i="5"/>
  <c r="E18" i="5"/>
  <c r="H18" i="5" s="1"/>
  <c r="F19" i="5" l="1"/>
  <c r="C18" i="5"/>
  <c r="F18" i="5"/>
  <c r="C17" i="5"/>
  <c r="E16" i="5"/>
  <c r="H16" i="5" s="1"/>
  <c r="E15" i="5" l="1"/>
  <c r="H15" i="5" s="1"/>
</calcChain>
</file>

<file path=xl/sharedStrings.xml><?xml version="1.0" encoding="utf-8"?>
<sst xmlns="http://schemas.openxmlformats.org/spreadsheetml/2006/main" count="94" uniqueCount="31">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</sst>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CEEF2"/>
      <color rgb="FFFF7C80"/>
      <color rgb="FF333300"/>
      <color rgb="FFFFCC99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284613309699096"/>
          <c:h val="0.64689350961441638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layout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  Sales Volume Against Each Sales Channel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 Sales Tracker'!$C$4:$C$6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Website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Tracker'!$C$7:$C$19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  <c:pt idx="5">
                  <c:v>155</c:v>
                </c:pt>
                <c:pt idx="7">
                  <c:v>0</c:v>
                </c:pt>
                <c:pt idx="8">
                  <c:v>50</c:v>
                </c:pt>
                <c:pt idx="9">
                  <c:v>100</c:v>
                </c:pt>
                <c:pt idx="10">
                  <c:v>640</c:v>
                </c:pt>
                <c:pt idx="11">
                  <c:v>450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E-43CE-92AE-566017D948A1}"/>
            </c:ext>
          </c:extLst>
        </c:ser>
        <c:ser>
          <c:idx val="1"/>
          <c:order val="1"/>
          <c:tx>
            <c:strRef>
              <c:f>'Online Sales Tracker'!$D$4:$D$6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Amazon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Tracker'!$D$7:$D$19</c:f>
              <c:numCache>
                <c:formatCode>General</c:formatCode>
                <c:ptCount val="13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205</c:v>
                </c:pt>
                <c:pt idx="7">
                  <c:v>0</c:v>
                </c:pt>
                <c:pt idx="8">
                  <c:v>125</c:v>
                </c:pt>
                <c:pt idx="9">
                  <c:v>300</c:v>
                </c:pt>
                <c:pt idx="10">
                  <c:v>320</c:v>
                </c:pt>
                <c:pt idx="11">
                  <c:v>200</c:v>
                </c:pt>
                <c:pt idx="1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E-43CE-92AE-566017D948A1}"/>
            </c:ext>
          </c:extLst>
        </c:ser>
        <c:ser>
          <c:idx val="2"/>
          <c:order val="2"/>
          <c:tx>
            <c:strRef>
              <c:f>'Online Sales Tracker'!$E$4:$E$6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Big basket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Tracker'!$E$7:$E$19</c:f>
              <c:numCache>
                <c:formatCode>General</c:formatCode>
                <c:ptCount val="13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  <c:pt idx="7">
                  <c:v>0</c:v>
                </c:pt>
                <c:pt idx="8">
                  <c:v>200</c:v>
                </c:pt>
                <c:pt idx="9">
                  <c:v>575</c:v>
                </c:pt>
                <c:pt idx="10">
                  <c:v>0</c:v>
                </c:pt>
                <c:pt idx="11">
                  <c:v>250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E-43CE-92AE-566017D948A1}"/>
            </c:ext>
          </c:extLst>
        </c:ser>
        <c:ser>
          <c:idx val="3"/>
          <c:order val="3"/>
          <c:tx>
            <c:strRef>
              <c:f>'Online Sales Tracker'!$F$4:$F$6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Flipkart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Tracker'!$F$7:$F$19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  <c:pt idx="5">
                  <c:v>360</c:v>
                </c:pt>
                <c:pt idx="7">
                  <c:v>0</c:v>
                </c:pt>
                <c:pt idx="8">
                  <c:v>0</c:v>
                </c:pt>
                <c:pt idx="9">
                  <c:v>250</c:v>
                </c:pt>
                <c:pt idx="10">
                  <c:v>320</c:v>
                </c:pt>
                <c:pt idx="11">
                  <c:v>700</c:v>
                </c:pt>
                <c:pt idx="1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E-43CE-92AE-566017D948A1}"/>
            </c:ext>
          </c:extLst>
        </c:ser>
        <c:ser>
          <c:idx val="4"/>
          <c:order val="4"/>
          <c:tx>
            <c:strRef>
              <c:f>'Online Sales Tracker'!$G$4:$G$6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Shopclues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Tracker'!$G$7:$G$19</c:f>
              <c:numCache>
                <c:formatCode>General</c:formatCode>
                <c:ptCount val="13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225</c:v>
                </c:pt>
                <c:pt idx="7">
                  <c:v>0</c:v>
                </c:pt>
                <c:pt idx="8">
                  <c:v>250</c:v>
                </c:pt>
                <c:pt idx="9">
                  <c:v>250</c:v>
                </c:pt>
                <c:pt idx="10">
                  <c:v>800</c:v>
                </c:pt>
                <c:pt idx="11">
                  <c:v>250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2E-43CE-92AE-566017D9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16399"/>
        <c:axId val="1270023471"/>
      </c:barChart>
      <c:lineChart>
        <c:grouping val="standard"/>
        <c:varyColors val="0"/>
        <c:ser>
          <c:idx val="5"/>
          <c:order val="5"/>
          <c:tx>
            <c:strRef>
              <c:f>'Online Sales Tracker'!$H$4:$H$6</c:f>
              <c:strCache>
                <c:ptCount val="3"/>
                <c:pt idx="0">
                  <c:v>Sales Summary</c:v>
                </c:pt>
                <c:pt idx="1">
                  <c:v>Volume Breakup</c:v>
                </c:pt>
                <c:pt idx="2">
                  <c:v>Volume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'Online Sales Tracker'!$B$7:$B$19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  <c:pt idx="6">
                  <c:v>Product-wise Profit Breakup</c:v>
                </c:pt>
                <c:pt idx="7">
                  <c:v>Product</c:v>
                </c:pt>
                <c:pt idx="8">
                  <c:v>A</c:v>
                </c:pt>
                <c:pt idx="9">
                  <c:v>B</c:v>
                </c:pt>
                <c:pt idx="10">
                  <c:v>C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'Online Sales Tracker'!$H$7:$H$19</c:f>
              <c:numCache>
                <c:formatCode>General</c:formatCode>
                <c:ptCount val="13"/>
                <c:pt idx="0">
                  <c:v>125</c:v>
                </c:pt>
                <c:pt idx="1">
                  <c:v>295</c:v>
                </c:pt>
                <c:pt idx="2">
                  <c:v>260</c:v>
                </c:pt>
                <c:pt idx="3">
                  <c:v>185</c:v>
                </c:pt>
                <c:pt idx="4">
                  <c:v>260</c:v>
                </c:pt>
                <c:pt idx="5">
                  <c:v>1125</c:v>
                </c:pt>
                <c:pt idx="7">
                  <c:v>0</c:v>
                </c:pt>
                <c:pt idx="8">
                  <c:v>625</c:v>
                </c:pt>
                <c:pt idx="9">
                  <c:v>1475</c:v>
                </c:pt>
                <c:pt idx="10">
                  <c:v>2080</c:v>
                </c:pt>
                <c:pt idx="11">
                  <c:v>1850</c:v>
                </c:pt>
                <c:pt idx="12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2E-43CE-92AE-566017D9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16399"/>
        <c:axId val="1270023471"/>
      </c:lineChart>
      <c:catAx>
        <c:axId val="127001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23471"/>
        <c:crosses val="autoZero"/>
        <c:auto val="1"/>
        <c:lblAlgn val="ctr"/>
        <c:lblOffset val="100"/>
        <c:noMultiLvlLbl val="0"/>
      </c:catAx>
      <c:valAx>
        <c:axId val="127002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1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6684909703690212"/>
          <c:y val="5.62086273239764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2.4460426112178982E-2"/>
          <c:w val="0.76614775887549513"/>
          <c:h val="0.97553957388782098"/>
        </c:manualLayout>
      </c:layout>
      <c:pieChart>
        <c:varyColors val="1"/>
        <c:ser>
          <c:idx val="0"/>
          <c:order val="0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55-4CFC-8EC3-7A63DE9F512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val>
            <c:numRef>
              <c:f>('Online Sales Tracker'!$E$7:$E$12,'Online Sales Tracker'!$E$14:$E$19)</c:f>
              <c:numCache>
                <c:formatCode>General</c:formatCode>
                <c:ptCount val="12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  <c:pt idx="6">
                  <c:v>0</c:v>
                </c:pt>
                <c:pt idx="7">
                  <c:v>200</c:v>
                </c:pt>
                <c:pt idx="8">
                  <c:v>575</c:v>
                </c:pt>
                <c:pt idx="9">
                  <c:v>0</c:v>
                </c:pt>
                <c:pt idx="10">
                  <c:v>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5-4CFC-8EC3-7A63DE9F512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2111374044943524"/>
          <c:y val="3.7695213717021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42049978947048E-2"/>
          <c:y val="7.1847077344642296E-2"/>
          <c:w val="0.6086574782964308"/>
          <c:h val="0.8357978681724173"/>
        </c:manualLayout>
      </c:layout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('Online Sales Tracker'!$D$7:$D$12,'Online Sales Tracker'!$D$14:$D$19)</c:f>
              <c:numCache>
                <c:formatCode>General</c:formatCode>
                <c:ptCount val="12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205</c:v>
                </c:pt>
                <c:pt idx="6">
                  <c:v>0</c:v>
                </c:pt>
                <c:pt idx="7">
                  <c:v>125</c:v>
                </c:pt>
                <c:pt idx="8">
                  <c:v>300</c:v>
                </c:pt>
                <c:pt idx="9">
                  <c:v>320</c:v>
                </c:pt>
                <c:pt idx="10">
                  <c:v>200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F-4C94-864B-B42F8C426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0764771344706503"/>
          <c:y val="5.9259259259259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648748260289604E-2"/>
          <c:y val="9.6296296296296297E-2"/>
          <c:w val="0.58978450767334611"/>
          <c:h val="0.86829454651501892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('Online Sales Tracker'!$C$7:$C$12,'Online Sales Tracker'!$C$14:$C$19)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  <c:pt idx="5">
                  <c:v>155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640</c:v>
                </c:pt>
                <c:pt idx="10">
                  <c:v>450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2-4D34-8FD9-F2D724ABE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5614826801870307"/>
          <c:y val="8.6274509803921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76727579126289E-2"/>
          <c:y val="7.4745098039215696E-2"/>
          <c:w val="0.49887107970330097"/>
          <c:h val="0.84682352941176475"/>
        </c:manualLayout>
      </c:layout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('Online Sales Tracker'!$F$7:$F$12,'Online Sales Tracker'!$F$14:$F$19)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  <c:pt idx="5">
                  <c:v>360</c:v>
                </c:pt>
                <c:pt idx="6">
                  <c:v>0</c:v>
                </c:pt>
                <c:pt idx="7">
                  <c:v>0</c:v>
                </c:pt>
                <c:pt idx="8">
                  <c:v>250</c:v>
                </c:pt>
                <c:pt idx="9">
                  <c:v>320</c:v>
                </c:pt>
                <c:pt idx="10">
                  <c:v>700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9-4110-932A-2DA3440DA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4651843053948521"/>
          <c:y val="4.0579669393918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165458462367914E-2"/>
          <c:y val="6.1112982107241511E-2"/>
          <c:w val="0.45488240976037053"/>
          <c:h val="0.88207548074127229"/>
        </c:manualLayout>
      </c:layout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('Online Sales Tracker'!$G$7:$G$12,'Online Sales Tracker'!$G$14:$G$19)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225</c:v>
                </c:pt>
                <c:pt idx="6">
                  <c:v>0</c:v>
                </c:pt>
                <c:pt idx="7">
                  <c:v>250</c:v>
                </c:pt>
                <c:pt idx="8">
                  <c:v>250</c:v>
                </c:pt>
                <c:pt idx="9">
                  <c:v>800</c:v>
                </c:pt>
                <c:pt idx="10">
                  <c:v>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F-4CBC-A3D1-7A09CFE3F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CAPSTONE</a:t>
          </a:r>
          <a:r>
            <a:rPr lang="en-US" sz="1800" b="1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1</xdr:col>
      <xdr:colOff>602877</xdr:colOff>
      <xdr:row>34</xdr:row>
      <xdr:rowOff>561</xdr:rowOff>
    </xdr:from>
    <xdr:to>
      <xdr:col>2</xdr:col>
      <xdr:colOff>282949</xdr:colOff>
      <xdr:row>35</xdr:row>
      <xdr:rowOff>57711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815789" y="8001561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1</xdr:col>
      <xdr:colOff>56029</xdr:colOff>
      <xdr:row>20</xdr:row>
      <xdr:rowOff>17928</xdr:rowOff>
    </xdr:from>
    <xdr:to>
      <xdr:col>7</xdr:col>
      <xdr:colOff>941293</xdr:colOff>
      <xdr:row>33</xdr:row>
      <xdr:rowOff>100852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851647</xdr:colOff>
      <xdr:row>34</xdr:row>
      <xdr:rowOff>67235</xdr:rowOff>
    </xdr:from>
    <xdr:to>
      <xdr:col>8</xdr:col>
      <xdr:colOff>145676</xdr:colOff>
      <xdr:row>43</xdr:row>
      <xdr:rowOff>44824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326573</xdr:colOff>
      <xdr:row>34</xdr:row>
      <xdr:rowOff>81643</xdr:rowOff>
    </xdr:from>
    <xdr:to>
      <xdr:col>5</xdr:col>
      <xdr:colOff>544287</xdr:colOff>
      <xdr:row>43</xdr:row>
      <xdr:rowOff>51707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102051</xdr:colOff>
      <xdr:row>34</xdr:row>
      <xdr:rowOff>81644</xdr:rowOff>
    </xdr:from>
    <xdr:to>
      <xdr:col>3</xdr:col>
      <xdr:colOff>108857</xdr:colOff>
      <xdr:row>43</xdr:row>
      <xdr:rowOff>54429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843642</xdr:colOff>
      <xdr:row>43</xdr:row>
      <xdr:rowOff>136072</xdr:rowOff>
    </xdr:from>
    <xdr:to>
      <xdr:col>4</xdr:col>
      <xdr:colOff>449036</xdr:colOff>
      <xdr:row>52</xdr:row>
      <xdr:rowOff>40822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693964</xdr:colOff>
      <xdr:row>43</xdr:row>
      <xdr:rowOff>190499</xdr:rowOff>
    </xdr:from>
    <xdr:to>
      <xdr:col>7</xdr:col>
      <xdr:colOff>585107</xdr:colOff>
      <xdr:row>52</xdr:row>
      <xdr:rowOff>40822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0.55499</cdr:x>
      <cdr:y>0</cdr:y>
    </cdr:from>
    <cdr:to>
      <cdr:x>0.97477</cdr:x>
      <cdr:y>0.1601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139600" y="0"/>
          <a:ext cx="861962" cy="24765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36"/>
  <sheetViews>
    <sheetView topLeftCell="A16" zoomScale="70" zoomScaleNormal="70" workbookViewId="0">
      <selection activeCell="F9" sqref="F9"/>
    </sheetView>
  </sheetViews>
  <sheetFormatPr defaultColWidth="9.140625" defaultRowHeight="15" x14ac:dyDescent="0.25"/>
  <cols>
    <col min="1" max="1" width="3.140625" style="3" customWidth="1"/>
    <col min="2" max="3" width="11.28515625" style="3" bestFit="1" customWidth="1"/>
    <col min="4" max="4" width="10.5703125" style="3" bestFit="1" customWidth="1"/>
    <col min="5" max="5" width="11.42578125" style="3" bestFit="1" customWidth="1"/>
    <col min="6" max="6" width="17.42578125" style="3" customWidth="1"/>
    <col min="7" max="7" width="13.7109375" style="3" bestFit="1" customWidth="1"/>
    <col min="8" max="8" width="12.5703125" style="3" bestFit="1" customWidth="1"/>
    <col min="9" max="9" width="8.42578125" style="3" bestFit="1" customWidth="1"/>
    <col min="10" max="10" width="10" style="3" bestFit="1" customWidth="1"/>
    <col min="11" max="11" width="14.85546875" style="3" bestFit="1" customWidth="1"/>
    <col min="12" max="12" width="11.7109375" style="3" customWidth="1"/>
    <col min="13" max="13" width="3.140625" style="3" customWidth="1"/>
    <col min="14" max="16" width="10.28515625" style="3" customWidth="1"/>
    <col min="17" max="17" width="12.28515625" style="3" bestFit="1" customWidth="1"/>
    <col min="18" max="18" width="10.5703125" style="3" bestFit="1" customWidth="1"/>
    <col min="19" max="19" width="12.140625" style="3" bestFit="1" customWidth="1"/>
    <col min="20" max="16384" width="9.140625" style="3"/>
  </cols>
  <sheetData>
    <row r="5" spans="1:14" ht="15.75" thickBo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5" thickBot="1" x14ac:dyDescent="0.3">
      <c r="A6" s="5"/>
      <c r="B6" s="33" t="s">
        <v>27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6"/>
    </row>
    <row r="7" spans="1:14" ht="19.5" thickBot="1" x14ac:dyDescent="0.3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5.75" thickBot="1" x14ac:dyDescent="0.3">
      <c r="A8" s="5"/>
      <c r="B8" s="26">
        <v>43009</v>
      </c>
      <c r="C8" s="27" t="str">
        <f>TEXT(B8,"dddd")</f>
        <v>Sunday</v>
      </c>
      <c r="D8" s="28" t="s">
        <v>1</v>
      </c>
      <c r="E8" s="28">
        <v>25</v>
      </c>
      <c r="F8" s="29" t="s">
        <v>10</v>
      </c>
      <c r="G8" s="30">
        <v>10</v>
      </c>
      <c r="H8" s="30">
        <v>15</v>
      </c>
      <c r="I8" s="30">
        <f>H8-G8</f>
        <v>5</v>
      </c>
      <c r="J8" s="31">
        <f>I8/H8</f>
        <v>0.33333333333333331</v>
      </c>
      <c r="K8" s="30">
        <f>I8*E8</f>
        <v>125</v>
      </c>
      <c r="L8" s="30">
        <f>H8*E8</f>
        <v>375</v>
      </c>
      <c r="M8" s="4"/>
    </row>
    <row r="9" spans="1:14" ht="15.75" thickBot="1" x14ac:dyDescent="0.3">
      <c r="A9" s="5"/>
      <c r="B9" s="26">
        <v>43009</v>
      </c>
      <c r="C9" s="27" t="str">
        <f t="shared" ref="C9:C35" si="0">TEXT(B9,"dddd")</f>
        <v>Sunday</v>
      </c>
      <c r="D9" s="28" t="s">
        <v>1</v>
      </c>
      <c r="E9" s="28">
        <v>10</v>
      </c>
      <c r="F9" s="29" t="s">
        <v>9</v>
      </c>
      <c r="G9" s="30">
        <v>10</v>
      </c>
      <c r="H9" s="30">
        <v>15</v>
      </c>
      <c r="I9" s="30">
        <f t="shared" ref="I9:I35" si="1">H9-G9</f>
        <v>5</v>
      </c>
      <c r="J9" s="31">
        <f t="shared" ref="J9:J35" si="2">I9/H9</f>
        <v>0.33333333333333331</v>
      </c>
      <c r="K9" s="30">
        <f t="shared" ref="K9:K35" si="3">I9*E9</f>
        <v>50</v>
      </c>
      <c r="L9" s="30">
        <f t="shared" ref="L9:L35" si="4">H9*E9</f>
        <v>150</v>
      </c>
      <c r="M9" s="4"/>
    </row>
    <row r="10" spans="1:14" ht="15.75" thickBot="1" x14ac:dyDescent="0.3">
      <c r="A10" s="5"/>
      <c r="B10" s="26">
        <v>43009</v>
      </c>
      <c r="C10" s="27" t="str">
        <f t="shared" si="0"/>
        <v>Sunday</v>
      </c>
      <c r="D10" s="28" t="s">
        <v>5</v>
      </c>
      <c r="E10" s="28">
        <v>50</v>
      </c>
      <c r="F10" s="29" t="s">
        <v>10</v>
      </c>
      <c r="G10" s="30">
        <v>8</v>
      </c>
      <c r="H10" s="30">
        <v>10</v>
      </c>
      <c r="I10" s="30">
        <f t="shared" si="1"/>
        <v>2</v>
      </c>
      <c r="J10" s="31">
        <f t="shared" si="2"/>
        <v>0.2</v>
      </c>
      <c r="K10" s="30">
        <f t="shared" si="3"/>
        <v>100</v>
      </c>
      <c r="L10" s="30">
        <f t="shared" si="4"/>
        <v>500</v>
      </c>
      <c r="M10" s="4"/>
    </row>
    <row r="11" spans="1:14" ht="15.75" thickBot="1" x14ac:dyDescent="0.3">
      <c r="A11" s="5"/>
      <c r="B11" s="26">
        <v>43010</v>
      </c>
      <c r="C11" s="27" t="str">
        <f t="shared" si="0"/>
        <v>Monday</v>
      </c>
      <c r="D11" s="28" t="s">
        <v>2</v>
      </c>
      <c r="E11" s="28">
        <v>25</v>
      </c>
      <c r="F11" s="29" t="s">
        <v>16</v>
      </c>
      <c r="G11" s="30">
        <v>5</v>
      </c>
      <c r="H11" s="30">
        <v>10</v>
      </c>
      <c r="I11" s="30">
        <f t="shared" si="1"/>
        <v>5</v>
      </c>
      <c r="J11" s="31">
        <f t="shared" si="2"/>
        <v>0.5</v>
      </c>
      <c r="K11" s="30">
        <f t="shared" si="3"/>
        <v>125</v>
      </c>
      <c r="L11" s="30">
        <f t="shared" si="4"/>
        <v>250</v>
      </c>
      <c r="M11" s="4"/>
    </row>
    <row r="12" spans="1:14" ht="15.75" thickBot="1" x14ac:dyDescent="0.3">
      <c r="A12" s="5"/>
      <c r="B12" s="26">
        <v>43010</v>
      </c>
      <c r="C12" s="27" t="str">
        <f t="shared" si="0"/>
        <v>Monday</v>
      </c>
      <c r="D12" s="28" t="s">
        <v>3</v>
      </c>
      <c r="E12" s="28">
        <v>25</v>
      </c>
      <c r="F12" s="29" t="s">
        <v>9</v>
      </c>
      <c r="G12" s="30">
        <v>12</v>
      </c>
      <c r="H12" s="30">
        <v>20</v>
      </c>
      <c r="I12" s="30">
        <f t="shared" si="1"/>
        <v>8</v>
      </c>
      <c r="J12" s="31">
        <f t="shared" si="2"/>
        <v>0.4</v>
      </c>
      <c r="K12" s="30">
        <f t="shared" si="3"/>
        <v>200</v>
      </c>
      <c r="L12" s="30">
        <f t="shared" si="4"/>
        <v>500</v>
      </c>
      <c r="M12" s="4"/>
    </row>
    <row r="13" spans="1:14" ht="15.75" thickBot="1" x14ac:dyDescent="0.3">
      <c r="A13" s="5"/>
      <c r="B13" s="26">
        <v>43012</v>
      </c>
      <c r="C13" s="27" t="str">
        <f t="shared" si="0"/>
        <v>Wednesday</v>
      </c>
      <c r="D13" s="28" t="s">
        <v>5</v>
      </c>
      <c r="E13" s="28">
        <v>10</v>
      </c>
      <c r="F13" s="29" t="s">
        <v>10</v>
      </c>
      <c r="G13" s="30">
        <v>8</v>
      </c>
      <c r="H13" s="30">
        <v>10</v>
      </c>
      <c r="I13" s="30">
        <f t="shared" si="1"/>
        <v>2</v>
      </c>
      <c r="J13" s="31">
        <f t="shared" si="2"/>
        <v>0.2</v>
      </c>
      <c r="K13" s="30">
        <f t="shared" si="3"/>
        <v>20</v>
      </c>
      <c r="L13" s="30">
        <f t="shared" si="4"/>
        <v>100</v>
      </c>
      <c r="M13" s="4"/>
    </row>
    <row r="14" spans="1:14" ht="15.75" thickBot="1" x14ac:dyDescent="0.3">
      <c r="A14" s="5"/>
      <c r="B14" s="26">
        <v>43012</v>
      </c>
      <c r="C14" s="27" t="str">
        <f t="shared" si="0"/>
        <v>Wednesday</v>
      </c>
      <c r="D14" s="28" t="s">
        <v>4</v>
      </c>
      <c r="E14" s="28">
        <v>20</v>
      </c>
      <c r="F14" s="29" t="s">
        <v>11</v>
      </c>
      <c r="G14" s="30">
        <v>20</v>
      </c>
      <c r="H14" s="30">
        <v>30</v>
      </c>
      <c r="I14" s="30">
        <f t="shared" si="1"/>
        <v>10</v>
      </c>
      <c r="J14" s="31">
        <f t="shared" si="2"/>
        <v>0.33333333333333331</v>
      </c>
      <c r="K14" s="30">
        <f t="shared" si="3"/>
        <v>200</v>
      </c>
      <c r="L14" s="30">
        <f t="shared" si="4"/>
        <v>600</v>
      </c>
      <c r="M14" s="4"/>
    </row>
    <row r="15" spans="1:14" ht="15.75" thickBot="1" x14ac:dyDescent="0.3">
      <c r="A15" s="5"/>
      <c r="B15" s="26">
        <v>43013</v>
      </c>
      <c r="C15" s="27" t="str">
        <f t="shared" si="0"/>
        <v>Thursday</v>
      </c>
      <c r="D15" s="28" t="s">
        <v>3</v>
      </c>
      <c r="E15" s="28">
        <v>40</v>
      </c>
      <c r="F15" s="29" t="s">
        <v>10</v>
      </c>
      <c r="G15" s="30">
        <v>12</v>
      </c>
      <c r="H15" s="30">
        <v>20</v>
      </c>
      <c r="I15" s="30">
        <f t="shared" si="1"/>
        <v>8</v>
      </c>
      <c r="J15" s="31">
        <f t="shared" si="2"/>
        <v>0.4</v>
      </c>
      <c r="K15" s="30">
        <f t="shared" si="3"/>
        <v>320</v>
      </c>
      <c r="L15" s="30">
        <f t="shared" si="4"/>
        <v>800</v>
      </c>
      <c r="M15" s="4"/>
      <c r="N15" s="7"/>
    </row>
    <row r="16" spans="1:14" ht="15.75" thickBot="1" x14ac:dyDescent="0.3">
      <c r="A16" s="5"/>
      <c r="B16" s="26">
        <v>43013</v>
      </c>
      <c r="C16" s="27" t="str">
        <f t="shared" si="0"/>
        <v>Thursday</v>
      </c>
      <c r="D16" s="28" t="s">
        <v>4</v>
      </c>
      <c r="E16" s="28">
        <v>50</v>
      </c>
      <c r="F16" s="29" t="s">
        <v>11</v>
      </c>
      <c r="G16" s="30">
        <v>20</v>
      </c>
      <c r="H16" s="30">
        <v>30</v>
      </c>
      <c r="I16" s="30">
        <f t="shared" si="1"/>
        <v>10</v>
      </c>
      <c r="J16" s="31">
        <f t="shared" si="2"/>
        <v>0.33333333333333331</v>
      </c>
      <c r="K16" s="30">
        <f t="shared" si="3"/>
        <v>500</v>
      </c>
      <c r="L16" s="30">
        <f t="shared" si="4"/>
        <v>1500</v>
      </c>
      <c r="M16" s="4"/>
    </row>
    <row r="17" spans="1:13" ht="15.75" thickBot="1" x14ac:dyDescent="0.3">
      <c r="A17" s="5"/>
      <c r="B17" s="26">
        <v>43014</v>
      </c>
      <c r="C17" s="27" t="str">
        <f t="shared" si="0"/>
        <v>Friday</v>
      </c>
      <c r="D17" s="28" t="s">
        <v>5</v>
      </c>
      <c r="E17" s="28">
        <v>100</v>
      </c>
      <c r="F17" s="29" t="s">
        <v>11</v>
      </c>
      <c r="G17" s="30">
        <v>8</v>
      </c>
      <c r="H17" s="30">
        <v>10</v>
      </c>
      <c r="I17" s="30">
        <f t="shared" si="1"/>
        <v>2</v>
      </c>
      <c r="J17" s="31">
        <f t="shared" si="2"/>
        <v>0.2</v>
      </c>
      <c r="K17" s="30">
        <f t="shared" si="3"/>
        <v>200</v>
      </c>
      <c r="L17" s="30">
        <f t="shared" si="4"/>
        <v>1000</v>
      </c>
      <c r="M17" s="4"/>
    </row>
    <row r="18" spans="1:13" ht="15.75" thickBot="1" x14ac:dyDescent="0.3">
      <c r="A18" s="5"/>
      <c r="B18" s="26">
        <v>43015</v>
      </c>
      <c r="C18" s="27" t="str">
        <f t="shared" si="0"/>
        <v>Saturday</v>
      </c>
      <c r="D18" s="28" t="s">
        <v>4</v>
      </c>
      <c r="E18" s="28">
        <v>25</v>
      </c>
      <c r="F18" s="29" t="s">
        <v>16</v>
      </c>
      <c r="G18" s="30">
        <v>20</v>
      </c>
      <c r="H18" s="30">
        <v>30</v>
      </c>
      <c r="I18" s="30">
        <f t="shared" si="1"/>
        <v>10</v>
      </c>
      <c r="J18" s="31">
        <f t="shared" si="2"/>
        <v>0.33333333333333331</v>
      </c>
      <c r="K18" s="30">
        <f t="shared" si="3"/>
        <v>250</v>
      </c>
      <c r="L18" s="30">
        <f t="shared" si="4"/>
        <v>750</v>
      </c>
      <c r="M18" s="4"/>
    </row>
    <row r="19" spans="1:13" ht="15.75" thickBot="1" x14ac:dyDescent="0.3">
      <c r="A19" s="5"/>
      <c r="B19" s="26">
        <v>43016</v>
      </c>
      <c r="C19" s="27" t="str">
        <f t="shared" si="0"/>
        <v>Sunday</v>
      </c>
      <c r="D19" s="28" t="s">
        <v>1</v>
      </c>
      <c r="E19" s="28">
        <v>40</v>
      </c>
      <c r="F19" s="29" t="s">
        <v>16</v>
      </c>
      <c r="G19" s="30">
        <v>10</v>
      </c>
      <c r="H19" s="30">
        <v>15</v>
      </c>
      <c r="I19" s="30">
        <f t="shared" si="1"/>
        <v>5</v>
      </c>
      <c r="J19" s="31">
        <f t="shared" si="2"/>
        <v>0.33333333333333331</v>
      </c>
      <c r="K19" s="30">
        <f t="shared" si="3"/>
        <v>200</v>
      </c>
      <c r="L19" s="30">
        <f t="shared" si="4"/>
        <v>600</v>
      </c>
      <c r="M19" s="4"/>
    </row>
    <row r="20" spans="1:13" ht="15.75" thickBot="1" x14ac:dyDescent="0.3">
      <c r="A20" s="5"/>
      <c r="B20" s="26">
        <v>43018</v>
      </c>
      <c r="C20" s="27" t="str">
        <f t="shared" si="0"/>
        <v>Tuesday</v>
      </c>
      <c r="D20" s="28" t="s">
        <v>2</v>
      </c>
      <c r="E20" s="28">
        <v>20</v>
      </c>
      <c r="F20" s="29" t="s">
        <v>9</v>
      </c>
      <c r="G20" s="30">
        <v>5</v>
      </c>
      <c r="H20" s="30">
        <v>10</v>
      </c>
      <c r="I20" s="30">
        <f t="shared" si="1"/>
        <v>5</v>
      </c>
      <c r="J20" s="31">
        <f t="shared" si="2"/>
        <v>0.5</v>
      </c>
      <c r="K20" s="30">
        <f t="shared" si="3"/>
        <v>100</v>
      </c>
      <c r="L20" s="30">
        <f t="shared" si="4"/>
        <v>200</v>
      </c>
      <c r="M20" s="4"/>
    </row>
    <row r="21" spans="1:13" ht="15.75" thickBot="1" x14ac:dyDescent="0.3">
      <c r="A21" s="5"/>
      <c r="B21" s="26">
        <v>43018</v>
      </c>
      <c r="C21" s="27" t="str">
        <f t="shared" si="0"/>
        <v>Tuesday</v>
      </c>
      <c r="D21" s="28" t="s">
        <v>3</v>
      </c>
      <c r="E21" s="28">
        <v>100</v>
      </c>
      <c r="F21" s="29" t="s">
        <v>12</v>
      </c>
      <c r="G21" s="30">
        <v>12</v>
      </c>
      <c r="H21" s="30">
        <v>20</v>
      </c>
      <c r="I21" s="30">
        <f t="shared" si="1"/>
        <v>8</v>
      </c>
      <c r="J21" s="31">
        <f t="shared" si="2"/>
        <v>0.4</v>
      </c>
      <c r="K21" s="30">
        <f t="shared" si="3"/>
        <v>800</v>
      </c>
      <c r="L21" s="30">
        <f t="shared" si="4"/>
        <v>2000</v>
      </c>
      <c r="M21" s="4"/>
    </row>
    <row r="22" spans="1:13" ht="15.75" thickBot="1" x14ac:dyDescent="0.3">
      <c r="A22" s="5"/>
      <c r="B22" s="26">
        <v>43019</v>
      </c>
      <c r="C22" s="27" t="str">
        <f t="shared" si="0"/>
        <v>Wednesday</v>
      </c>
      <c r="D22" s="28" t="s">
        <v>3</v>
      </c>
      <c r="E22" s="28">
        <v>25</v>
      </c>
      <c r="F22" s="29" t="s">
        <v>9</v>
      </c>
      <c r="G22" s="30">
        <v>12</v>
      </c>
      <c r="H22" s="30">
        <v>20</v>
      </c>
      <c r="I22" s="30">
        <f t="shared" si="1"/>
        <v>8</v>
      </c>
      <c r="J22" s="31">
        <f t="shared" si="2"/>
        <v>0.4</v>
      </c>
      <c r="K22" s="30">
        <f t="shared" si="3"/>
        <v>200</v>
      </c>
      <c r="L22" s="30">
        <f t="shared" si="4"/>
        <v>500</v>
      </c>
      <c r="M22" s="4"/>
    </row>
    <row r="23" spans="1:13" ht="15.75" thickBot="1" x14ac:dyDescent="0.3">
      <c r="A23" s="5"/>
      <c r="B23" s="26">
        <v>43021</v>
      </c>
      <c r="C23" s="27" t="str">
        <f t="shared" si="0"/>
        <v>Friday</v>
      </c>
      <c r="D23" s="28" t="s">
        <v>2</v>
      </c>
      <c r="E23" s="28">
        <v>40</v>
      </c>
      <c r="F23" s="29" t="s">
        <v>16</v>
      </c>
      <c r="G23" s="30">
        <v>5</v>
      </c>
      <c r="H23" s="30">
        <v>10</v>
      </c>
      <c r="I23" s="30">
        <f t="shared" si="1"/>
        <v>5</v>
      </c>
      <c r="J23" s="31">
        <f t="shared" si="2"/>
        <v>0.5</v>
      </c>
      <c r="K23" s="30">
        <f t="shared" si="3"/>
        <v>200</v>
      </c>
      <c r="L23" s="30">
        <f t="shared" si="4"/>
        <v>400</v>
      </c>
      <c r="M23" s="4"/>
    </row>
    <row r="24" spans="1:13" ht="15.75" thickBot="1" x14ac:dyDescent="0.3">
      <c r="A24" s="5"/>
      <c r="B24" s="26">
        <v>43022</v>
      </c>
      <c r="C24" s="27" t="str">
        <f t="shared" si="0"/>
        <v>Saturday</v>
      </c>
      <c r="D24" s="28" t="s">
        <v>4</v>
      </c>
      <c r="E24" s="28">
        <v>25</v>
      </c>
      <c r="F24" s="29" t="s">
        <v>9</v>
      </c>
      <c r="G24" s="30">
        <v>20</v>
      </c>
      <c r="H24" s="30">
        <v>30</v>
      </c>
      <c r="I24" s="30">
        <f t="shared" si="1"/>
        <v>10</v>
      </c>
      <c r="J24" s="31">
        <f t="shared" si="2"/>
        <v>0.33333333333333331</v>
      </c>
      <c r="K24" s="30">
        <f t="shared" si="3"/>
        <v>250</v>
      </c>
      <c r="L24" s="30">
        <f t="shared" si="4"/>
        <v>750</v>
      </c>
      <c r="M24" s="4"/>
    </row>
    <row r="25" spans="1:13" ht="15.75" thickBot="1" x14ac:dyDescent="0.3">
      <c r="A25" s="5"/>
      <c r="B25" s="26">
        <v>43024</v>
      </c>
      <c r="C25" s="27" t="str">
        <f t="shared" si="0"/>
        <v>Monday</v>
      </c>
      <c r="D25" s="28" t="s">
        <v>2</v>
      </c>
      <c r="E25" s="28">
        <v>50</v>
      </c>
      <c r="F25" s="29" t="s">
        <v>11</v>
      </c>
      <c r="G25" s="30">
        <v>5</v>
      </c>
      <c r="H25" s="30">
        <v>10</v>
      </c>
      <c r="I25" s="30">
        <f t="shared" si="1"/>
        <v>5</v>
      </c>
      <c r="J25" s="31">
        <f t="shared" si="2"/>
        <v>0.5</v>
      </c>
      <c r="K25" s="30">
        <f t="shared" si="3"/>
        <v>250</v>
      </c>
      <c r="L25" s="30">
        <f t="shared" si="4"/>
        <v>500</v>
      </c>
      <c r="M25" s="4"/>
    </row>
    <row r="26" spans="1:13" ht="15.75" thickBot="1" x14ac:dyDescent="0.3">
      <c r="A26" s="5"/>
      <c r="B26" s="26">
        <v>43024</v>
      </c>
      <c r="C26" s="27" t="str">
        <f t="shared" si="0"/>
        <v>Monday</v>
      </c>
      <c r="D26" s="28" t="s">
        <v>3</v>
      </c>
      <c r="E26" s="28">
        <v>30</v>
      </c>
      <c r="F26" s="29" t="s">
        <v>9</v>
      </c>
      <c r="G26" s="30">
        <v>12</v>
      </c>
      <c r="H26" s="30">
        <v>20</v>
      </c>
      <c r="I26" s="30">
        <f t="shared" si="1"/>
        <v>8</v>
      </c>
      <c r="J26" s="31">
        <f t="shared" si="2"/>
        <v>0.4</v>
      </c>
      <c r="K26" s="30">
        <f t="shared" si="3"/>
        <v>240</v>
      </c>
      <c r="L26" s="30">
        <f t="shared" si="4"/>
        <v>600</v>
      </c>
      <c r="M26" s="4"/>
    </row>
    <row r="27" spans="1:13" ht="15.75" thickBot="1" x14ac:dyDescent="0.3">
      <c r="A27" s="5"/>
      <c r="B27" s="26">
        <v>43025</v>
      </c>
      <c r="C27" s="27" t="str">
        <f t="shared" si="0"/>
        <v>Tuesday</v>
      </c>
      <c r="D27" s="28" t="s">
        <v>4</v>
      </c>
      <c r="E27" s="28">
        <v>25</v>
      </c>
      <c r="F27" s="29" t="s">
        <v>12</v>
      </c>
      <c r="G27" s="30">
        <v>20</v>
      </c>
      <c r="H27" s="30">
        <v>30</v>
      </c>
      <c r="I27" s="30">
        <f t="shared" si="1"/>
        <v>10</v>
      </c>
      <c r="J27" s="31">
        <f t="shared" si="2"/>
        <v>0.33333333333333331</v>
      </c>
      <c r="K27" s="30">
        <f t="shared" si="3"/>
        <v>250</v>
      </c>
      <c r="L27" s="30">
        <f t="shared" si="4"/>
        <v>750</v>
      </c>
      <c r="M27" s="4"/>
    </row>
    <row r="28" spans="1:13" ht="15.75" thickBot="1" x14ac:dyDescent="0.3">
      <c r="A28" s="5"/>
      <c r="B28" s="26">
        <v>43029</v>
      </c>
      <c r="C28" s="27" t="str">
        <f t="shared" si="0"/>
        <v>Saturday</v>
      </c>
      <c r="D28" s="28" t="s">
        <v>2</v>
      </c>
      <c r="E28" s="28">
        <v>60</v>
      </c>
      <c r="F28" s="29" t="s">
        <v>10</v>
      </c>
      <c r="G28" s="30">
        <v>5</v>
      </c>
      <c r="H28" s="30">
        <v>10</v>
      </c>
      <c r="I28" s="30">
        <f t="shared" si="1"/>
        <v>5</v>
      </c>
      <c r="J28" s="31">
        <f t="shared" si="2"/>
        <v>0.5</v>
      </c>
      <c r="K28" s="30">
        <f t="shared" si="3"/>
        <v>300</v>
      </c>
      <c r="L28" s="30">
        <f t="shared" si="4"/>
        <v>600</v>
      </c>
      <c r="M28" s="4"/>
    </row>
    <row r="29" spans="1:13" ht="15.75" thickBot="1" x14ac:dyDescent="0.3">
      <c r="A29" s="5"/>
      <c r="B29" s="26">
        <v>43030</v>
      </c>
      <c r="C29" s="27" t="str">
        <f t="shared" si="0"/>
        <v>Sunday</v>
      </c>
      <c r="D29" s="28" t="s">
        <v>5</v>
      </c>
      <c r="E29" s="28">
        <v>100</v>
      </c>
      <c r="F29" s="29" t="s">
        <v>11</v>
      </c>
      <c r="G29" s="30">
        <v>8</v>
      </c>
      <c r="H29" s="30">
        <v>10</v>
      </c>
      <c r="I29" s="30">
        <f t="shared" si="1"/>
        <v>2</v>
      </c>
      <c r="J29" s="31">
        <f t="shared" si="2"/>
        <v>0.2</v>
      </c>
      <c r="K29" s="30">
        <f t="shared" si="3"/>
        <v>200</v>
      </c>
      <c r="L29" s="30">
        <f t="shared" si="4"/>
        <v>1000</v>
      </c>
      <c r="M29" s="4"/>
    </row>
    <row r="30" spans="1:13" ht="15.75" thickBot="1" x14ac:dyDescent="0.3">
      <c r="A30" s="5"/>
      <c r="B30" s="26">
        <v>43032</v>
      </c>
      <c r="C30" s="27" t="str">
        <f t="shared" si="0"/>
        <v>Tuesday</v>
      </c>
      <c r="D30" s="28" t="s">
        <v>4</v>
      </c>
      <c r="E30" s="28">
        <v>20</v>
      </c>
      <c r="F30" s="29" t="s">
        <v>9</v>
      </c>
      <c r="G30" s="30">
        <v>20</v>
      </c>
      <c r="H30" s="30">
        <v>30</v>
      </c>
      <c r="I30" s="30">
        <f t="shared" si="1"/>
        <v>10</v>
      </c>
      <c r="J30" s="31">
        <f t="shared" si="2"/>
        <v>0.33333333333333331</v>
      </c>
      <c r="K30" s="30">
        <f t="shared" si="3"/>
        <v>200</v>
      </c>
      <c r="L30" s="30">
        <f t="shared" si="4"/>
        <v>600</v>
      </c>
      <c r="M30" s="4"/>
    </row>
    <row r="31" spans="1:13" ht="15.75" thickBot="1" x14ac:dyDescent="0.3">
      <c r="A31" s="5"/>
      <c r="B31" s="26">
        <v>43032</v>
      </c>
      <c r="C31" s="27" t="str">
        <f t="shared" si="0"/>
        <v>Tuesday</v>
      </c>
      <c r="D31" s="28" t="s">
        <v>3</v>
      </c>
      <c r="E31" s="28">
        <v>40</v>
      </c>
      <c r="F31" s="29" t="s">
        <v>11</v>
      </c>
      <c r="G31" s="30">
        <v>12</v>
      </c>
      <c r="H31" s="30">
        <v>20</v>
      </c>
      <c r="I31" s="30">
        <f t="shared" si="1"/>
        <v>8</v>
      </c>
      <c r="J31" s="31">
        <f t="shared" si="2"/>
        <v>0.4</v>
      </c>
      <c r="K31" s="30">
        <f t="shared" si="3"/>
        <v>320</v>
      </c>
      <c r="L31" s="30">
        <f t="shared" si="4"/>
        <v>800</v>
      </c>
      <c r="M31" s="4"/>
    </row>
    <row r="32" spans="1:13" ht="15.75" thickBot="1" x14ac:dyDescent="0.3">
      <c r="A32" s="5"/>
      <c r="B32" s="26">
        <v>43035</v>
      </c>
      <c r="C32" s="27" t="str">
        <f t="shared" si="0"/>
        <v>Friday</v>
      </c>
      <c r="D32" s="28" t="s">
        <v>2</v>
      </c>
      <c r="E32" s="28">
        <v>50</v>
      </c>
      <c r="F32" s="29" t="s">
        <v>12</v>
      </c>
      <c r="G32" s="30">
        <v>5</v>
      </c>
      <c r="H32" s="30">
        <v>10</v>
      </c>
      <c r="I32" s="30">
        <f t="shared" si="1"/>
        <v>5</v>
      </c>
      <c r="J32" s="31">
        <f t="shared" si="2"/>
        <v>0.5</v>
      </c>
      <c r="K32" s="30">
        <f t="shared" si="3"/>
        <v>250</v>
      </c>
      <c r="L32" s="30">
        <f t="shared" si="4"/>
        <v>500</v>
      </c>
      <c r="M32" s="4"/>
    </row>
    <row r="33" spans="1:13" ht="15.75" thickBot="1" x14ac:dyDescent="0.3">
      <c r="A33" s="5"/>
      <c r="B33" s="26">
        <v>43036</v>
      </c>
      <c r="C33" s="27" t="str">
        <f t="shared" si="0"/>
        <v>Saturday</v>
      </c>
      <c r="D33" s="28" t="s">
        <v>2</v>
      </c>
      <c r="E33" s="28">
        <v>50</v>
      </c>
      <c r="F33" s="29" t="s">
        <v>16</v>
      </c>
      <c r="G33" s="30">
        <v>5</v>
      </c>
      <c r="H33" s="30">
        <v>10</v>
      </c>
      <c r="I33" s="30">
        <f t="shared" si="1"/>
        <v>5</v>
      </c>
      <c r="J33" s="31">
        <f t="shared" si="2"/>
        <v>0.5</v>
      </c>
      <c r="K33" s="30">
        <f t="shared" si="3"/>
        <v>250</v>
      </c>
      <c r="L33" s="30">
        <f t="shared" si="4"/>
        <v>500</v>
      </c>
      <c r="M33" s="4"/>
    </row>
    <row r="34" spans="1:13" ht="15.75" thickBot="1" x14ac:dyDescent="0.3">
      <c r="A34" s="5"/>
      <c r="B34" s="26">
        <v>43038</v>
      </c>
      <c r="C34" s="27" t="str">
        <f t="shared" si="0"/>
        <v>Monday</v>
      </c>
      <c r="D34" s="28" t="s">
        <v>1</v>
      </c>
      <c r="E34" s="28">
        <v>50</v>
      </c>
      <c r="F34" s="29" t="s">
        <v>12</v>
      </c>
      <c r="G34" s="30">
        <v>10</v>
      </c>
      <c r="H34" s="30">
        <v>15</v>
      </c>
      <c r="I34" s="30">
        <f t="shared" si="1"/>
        <v>5</v>
      </c>
      <c r="J34" s="31">
        <f t="shared" si="2"/>
        <v>0.33333333333333331</v>
      </c>
      <c r="K34" s="30">
        <f t="shared" si="3"/>
        <v>250</v>
      </c>
      <c r="L34" s="30">
        <f t="shared" si="4"/>
        <v>750</v>
      </c>
      <c r="M34" s="4"/>
    </row>
    <row r="35" spans="1:13" ht="15.75" thickBot="1" x14ac:dyDescent="0.3">
      <c r="A35" s="5"/>
      <c r="B35" s="26">
        <v>43038</v>
      </c>
      <c r="C35" s="27" t="str">
        <f t="shared" si="0"/>
        <v>Monday</v>
      </c>
      <c r="D35" s="28" t="s">
        <v>4</v>
      </c>
      <c r="E35" s="28">
        <v>20</v>
      </c>
      <c r="F35" s="29" t="s">
        <v>10</v>
      </c>
      <c r="G35" s="30">
        <v>20</v>
      </c>
      <c r="H35" s="30">
        <v>30</v>
      </c>
      <c r="I35" s="30">
        <f t="shared" si="1"/>
        <v>10</v>
      </c>
      <c r="J35" s="31">
        <f t="shared" si="2"/>
        <v>0.33333333333333331</v>
      </c>
      <c r="K35" s="30">
        <f t="shared" si="3"/>
        <v>200</v>
      </c>
      <c r="L35" s="30">
        <f t="shared" si="4"/>
        <v>600</v>
      </c>
      <c r="M35" s="4"/>
    </row>
    <row r="36" spans="1:13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Database!#REF!</xm:f>
          </x14:formula1>
          <xm:sqref>C7:C34</xm:sqref>
        </x14:dataValidation>
        <x14:dataValidation type="list" allowBlank="1" showInputMessage="1" showErrorMessage="1">
          <x14:formula1>
            <xm:f>Database!#REF!</xm:f>
          </x14:formula1>
          <xm:sqref>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9"/>
  <sheetViews>
    <sheetView tabSelected="1" zoomScale="55" zoomScaleNormal="55" workbookViewId="0">
      <selection activeCell="B2" sqref="B2:G2"/>
    </sheetView>
  </sheetViews>
  <sheetFormatPr defaultColWidth="9.140625" defaultRowHeight="15" x14ac:dyDescent="0.25"/>
  <cols>
    <col min="1" max="1" width="3.140625" style="2" customWidth="1"/>
    <col min="2" max="8" width="15.7109375" style="2" customWidth="1"/>
    <col min="9" max="9" width="3.140625" style="2" customWidth="1"/>
    <col min="10" max="13" width="15.7109375" style="2" customWidth="1"/>
    <col min="14" max="16384" width="9.140625" style="2"/>
  </cols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">
      <c r="A2" s="1"/>
      <c r="B2" s="38"/>
      <c r="C2" s="38"/>
      <c r="D2" s="38"/>
      <c r="E2" s="38"/>
      <c r="F2" s="38"/>
      <c r="G2" s="38"/>
      <c r="H2" s="40"/>
      <c r="I2" s="1"/>
    </row>
    <row r="3" spans="1:11" ht="32.25" customHeight="1" thickBot="1" x14ac:dyDescent="0.3">
      <c r="A3" s="1"/>
      <c r="B3" s="39" t="s">
        <v>24</v>
      </c>
      <c r="C3" s="39"/>
      <c r="D3" s="39"/>
      <c r="E3" s="39"/>
      <c r="F3" s="39"/>
      <c r="G3" s="39"/>
      <c r="H3" s="40"/>
      <c r="I3" s="1"/>
      <c r="K3" s="32" t="s">
        <v>29</v>
      </c>
    </row>
    <row r="4" spans="1:11" ht="32.25" customHeight="1" thickBot="1" x14ac:dyDescent="0.3">
      <c r="A4" s="1"/>
      <c r="B4" s="41" t="s">
        <v>23</v>
      </c>
      <c r="C4" s="42"/>
      <c r="D4" s="42"/>
      <c r="E4" s="42"/>
      <c r="F4" s="42"/>
      <c r="G4" s="42"/>
      <c r="H4" s="43"/>
      <c r="I4" s="1"/>
    </row>
    <row r="5" spans="1:11" ht="26.25" thickBot="1" x14ac:dyDescent="0.3">
      <c r="A5" s="1"/>
      <c r="B5" s="34" t="s">
        <v>25</v>
      </c>
      <c r="C5" s="35"/>
      <c r="D5" s="35"/>
      <c r="E5" s="35"/>
      <c r="F5" s="35"/>
      <c r="G5" s="35"/>
      <c r="H5" s="36"/>
      <c r="I5" s="1"/>
    </row>
    <row r="6" spans="1:11" ht="20.25" thickBot="1" x14ac:dyDescent="0.3">
      <c r="A6" s="1"/>
      <c r="B6" s="24" t="s">
        <v>0</v>
      </c>
      <c r="C6" s="24" t="s">
        <v>9</v>
      </c>
      <c r="D6" s="24" t="s">
        <v>10</v>
      </c>
      <c r="E6" s="24" t="s">
        <v>16</v>
      </c>
      <c r="F6" s="24" t="s">
        <v>11</v>
      </c>
      <c r="G6" s="24" t="s">
        <v>12</v>
      </c>
      <c r="H6" s="25" t="s">
        <v>14</v>
      </c>
      <c r="I6" s="1"/>
    </row>
    <row r="7" spans="1:11" ht="15.75" thickBot="1" x14ac:dyDescent="0.3">
      <c r="A7" s="1"/>
      <c r="B7" s="8" t="str">
        <f>B15</f>
        <v>A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/>
    </row>
    <row r="8" spans="1:11" ht="15.75" thickBot="1" x14ac:dyDescent="0.3">
      <c r="A8" s="1"/>
      <c r="B8" s="8" t="str">
        <f>B16</f>
        <v>B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1" si="0">SUM(C8:G8)</f>
        <v>295</v>
      </c>
      <c r="I8" s="1"/>
    </row>
    <row r="9" spans="1:11" ht="15.75" thickBot="1" x14ac:dyDescent="0.3">
      <c r="A9" s="1"/>
      <c r="B9" s="8" t="str">
        <f>B17</f>
        <v>C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.75" thickBot="1" x14ac:dyDescent="0.3">
      <c r="A10" s="1"/>
      <c r="B10" s="8" t="str">
        <f>B18</f>
        <v>D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.75" thickBot="1" x14ac:dyDescent="0.3">
      <c r="A11" s="1"/>
      <c r="B11" s="8" t="str">
        <f>B19</f>
        <v>E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9.5" thickBot="1" x14ac:dyDescent="0.3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23">
        <f>SUM(H7:H11)</f>
        <v>1125</v>
      </c>
      <c r="I12" s="1"/>
      <c r="J12" s="2" t="s">
        <v>30</v>
      </c>
    </row>
    <row r="13" spans="1:11" ht="26.25" thickBot="1" x14ac:dyDescent="0.3">
      <c r="A13" s="1"/>
      <c r="B13" s="37" t="s">
        <v>26</v>
      </c>
      <c r="C13" s="37"/>
      <c r="D13" s="37"/>
      <c r="E13" s="37"/>
      <c r="F13" s="37"/>
      <c r="G13" s="37"/>
      <c r="H13" s="37"/>
      <c r="I13" s="1"/>
    </row>
    <row r="14" spans="1:11" ht="20.25" thickBot="1" x14ac:dyDescent="0.3">
      <c r="A14" s="1"/>
      <c r="B14" s="24" t="s">
        <v>0</v>
      </c>
      <c r="C14" s="24" t="s">
        <v>9</v>
      </c>
      <c r="D14" s="24" t="s">
        <v>10</v>
      </c>
      <c r="E14" s="24" t="s">
        <v>19</v>
      </c>
      <c r="F14" s="24" t="s">
        <v>11</v>
      </c>
      <c r="G14" s="24" t="s">
        <v>12</v>
      </c>
      <c r="H14" s="25" t="s">
        <v>6</v>
      </c>
      <c r="I14" s="1"/>
    </row>
    <row r="15" spans="1:11" ht="15.75" thickBot="1" x14ac:dyDescent="0.3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.75" thickBot="1" x14ac:dyDescent="0.3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.75" thickBot="1" x14ac:dyDescent="0.3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.75" thickBot="1" x14ac:dyDescent="0.3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.75" thickBot="1" x14ac:dyDescent="0.3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.75" thickBot="1" x14ac:dyDescent="0.3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25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25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25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25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25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25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25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25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25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25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25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25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25">
      <c r="A33" s="10"/>
      <c r="B33" s="17"/>
      <c r="C33" s="5"/>
      <c r="D33" s="5"/>
      <c r="E33" s="5"/>
      <c r="F33" s="5"/>
      <c r="G33" s="5"/>
      <c r="H33" s="18"/>
      <c r="I33" s="1"/>
    </row>
    <row r="34" spans="1:30" ht="15.75" thickBot="1" x14ac:dyDescent="0.3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25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25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25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25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25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25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25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25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25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25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25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25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25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25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25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25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25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25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25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25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25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25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25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25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25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25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25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25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25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25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25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25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25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25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25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25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25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25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25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25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25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25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25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25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25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25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25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25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25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25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25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nandini rajput</cp:lastModifiedBy>
  <dcterms:created xsi:type="dcterms:W3CDTF">2015-06-05T18:17:20Z</dcterms:created>
  <dcterms:modified xsi:type="dcterms:W3CDTF">2026-10-02T12:14:49Z</dcterms:modified>
</cp:coreProperties>
</file>